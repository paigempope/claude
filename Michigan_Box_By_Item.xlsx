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hipping" sheetId="2" state="visible" r:id="rId2"/>
    <sheet xmlns:r="http://schemas.openxmlformats.org/officeDocument/2006/relationships" name="1 Cherries" sheetId="3" state="visible" r:id="rId3"/>
    <sheet xmlns:r="http://schemas.openxmlformats.org/officeDocument/2006/relationships" name="2 Fudge" sheetId="4" state="visible" r:id="rId4"/>
    <sheet xmlns:r="http://schemas.openxmlformats.org/officeDocument/2006/relationships" name="3 Cream-Nut" sheetId="5" state="visible" r:id="rId5"/>
    <sheet xmlns:r="http://schemas.openxmlformats.org/officeDocument/2006/relationships" name="4 Peanuts" sheetId="6" state="visible" r:id="rId6"/>
    <sheet xmlns:r="http://schemas.openxmlformats.org/officeDocument/2006/relationships" name="5 Pretzels" sheetId="7" state="visible" r:id="rId7"/>
    <sheet xmlns:r="http://schemas.openxmlformats.org/officeDocument/2006/relationships" name="6 Kars" sheetId="8" state="visible" r:id="rId8"/>
    <sheet xmlns:r="http://schemas.openxmlformats.org/officeDocument/2006/relationships" name="7 Faygo" sheetId="9" state="visible" r:id="rId9"/>
    <sheet xmlns:r="http://schemas.openxmlformats.org/officeDocument/2006/relationships" name="8 Car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2F0D9"/>
      </patternFill>
    </fill>
    <fill>
      <patternFill patternType="solid">
        <fgColor rgb="00D9C2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wrapText="1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40" customWidth="1" min="3" max="3"/>
    <col width="10" customWidth="1" min="4" max="4"/>
    <col width="16" customWidth="1" min="5" max="5"/>
    <col width="16" customWidth="1" min="6" max="6"/>
    <col width="16" customWidth="1" min="7" max="7"/>
    <col width="52" customWidth="1" min="8" max="8"/>
    <col width="40" customWidth="1" min="9" max="9"/>
    <col width="44" customWidth="1" min="10" max="10"/>
    <col width="30" customWidth="1" min="11" max="11"/>
  </cols>
  <sheetData>
    <row r="1" ht="60" customHeight="1">
      <c r="A1" s="1" t="inlineStr">
        <is>
          <t>The Michigan Box: one tab per item, sorted nearest to Birmingham, MI (48009) first. Stockist rows come from the brands’ official store locators (pulled 10/26/2026). Those list stores carrying the brand, not the exact bag, so call ahead. Prices come from public listings and may change. Each item tab ends with a PRICE COMPARISON table (cheapest first, highlighted green). "Est. price" = a price found in a listing, or "(est.)" where it is an estimate. Confirm in store. PURPLE rows = the same place appears in 2+ other item tabs (one stop for several items).</t>
        </is>
      </c>
    </row>
    <row r="2">
      <c r="A2" s="2" t="inlineStr">
        <is>
          <t>#</t>
        </is>
      </c>
      <c r="B2" s="2" t="inlineStr">
        <is>
          <t>Place</t>
        </is>
      </c>
      <c r="C2" s="2" t="inlineStr">
        <is>
          <t>Address</t>
        </is>
      </c>
      <c r="D2" s="2" t="inlineStr">
        <is>
          <t>Miles from Birmingham</t>
        </is>
      </c>
      <c r="E2" s="2" t="inlineStr">
        <is>
          <t>Phone</t>
        </is>
      </c>
      <c r="F2" s="2" t="inlineStr">
        <is>
          <t>Type</t>
        </is>
      </c>
      <c r="G2" s="2" t="inlineStr">
        <is>
          <t>Confidence</t>
        </is>
      </c>
      <c r="H2" s="2" t="inlineStr">
        <is>
          <t>Notes</t>
        </is>
      </c>
      <c r="I2" s="2" t="inlineStr">
        <is>
          <t>Link</t>
        </is>
      </c>
      <c r="J2" s="2" t="inlineStr">
        <is>
          <t>Est. price (cheapest option)</t>
        </is>
      </c>
      <c r="K2" s="2" t="inlineStr">
        <is>
          <t>Est. item weight (with its own packaging)</t>
        </is>
      </c>
    </row>
    <row r="3">
      <c r="A3" t="n">
        <v>1</v>
      </c>
      <c r="B3" t="inlineStr">
        <is>
          <t>Germack Dried Cherries 8 oz → tab "1 Cherries"</t>
        </is>
      </c>
      <c r="C3" t="inlineStr">
        <is>
          <t>Market Square, 34244 Woodward (former Papa Joe’s) or 1964 Southfield Rd</t>
        </is>
      </c>
      <c r="D3" t="n">
        <v>0.2</v>
      </c>
      <c r="F3" t="inlineStr">
        <is>
          <t>Best Birmingham stop</t>
        </is>
      </c>
      <c r="G3" t="inlineStr">
        <is>
          <t>Germack stockist</t>
        </is>
      </c>
      <c r="H3" t="inlineStr">
        <is>
          <t>Surest source: Germack’s Eastern Market shop (16.6 mi)</t>
        </is>
      </c>
      <c r="J3" t="inlineStr">
        <is>
          <t>Germack 8 oz $14.24 (online/store)</t>
        </is>
      </c>
      <c r="K3" t="inlineStr">
        <is>
          <t>8.4 oz (8 oz net)</t>
        </is>
      </c>
    </row>
    <row r="4">
      <c r="A4" t="n">
        <v>2</v>
      </c>
      <c r="B4" t="inlineStr">
        <is>
          <t>Mackinac Island Fudge 8 oz → tab "2 Fudge"</t>
        </is>
      </c>
      <c r="C4" t="inlineStr">
        <is>
          <t>Order direct from Murdick’s / Ryba’s / Joann’s</t>
        </is>
      </c>
      <c r="E4" t="inlineStr">
        <is>
          <t>(906) 643-9616 Murdick’s business</t>
        </is>
      </c>
      <c r="F4" t="inlineStr">
        <is>
          <t>Ship</t>
        </is>
      </c>
      <c r="G4" t="inlineStr">
        <is>
          <t>Confirmed</t>
        </is>
      </c>
      <c r="H4" t="inlineStr">
        <is>
          <t>No Birmingham retailer confirmed; check the lead at 1540 W Lincoln, Birmingham</t>
        </is>
      </c>
      <c r="J4" t="inlineStr">
        <is>
          <t>Joann’s Five Slice Box $46.95 ≈ $9.39/slice</t>
        </is>
      </c>
      <c r="K4" t="inlineStr">
        <is>
          <t>9.0 oz (8 oz net)</t>
        </is>
      </c>
    </row>
    <row r="5">
      <c r="A5" t="n">
        <v>3</v>
      </c>
      <c r="B5" t="inlineStr">
        <is>
          <t>Koeze Cream-Nut 17 oz → tab "3 Cream-Nut"</t>
        </is>
      </c>
      <c r="C5" t="inlineStr">
        <is>
          <t>Koeze direct 6-jar case ($41.95)</t>
        </is>
      </c>
      <c r="E5" t="inlineStr">
        <is>
          <t>(616) 724-2620</t>
        </is>
      </c>
      <c r="F5" t="inlineStr">
        <is>
          <t>Ship</t>
        </is>
      </c>
      <c r="G5" t="inlineStr">
        <is>
          <t>Confirmed</t>
        </is>
      </c>
      <c r="H5" t="inlineStr">
        <is>
          <t>Check Kroger, 685 E Maple on kroger.com</t>
        </is>
      </c>
      <c r="I5" t="inlineStr">
        <is>
          <t>https://koeze.com/cream-nut-smooth-case-small</t>
        </is>
      </c>
      <c r="J5" t="inlineStr">
        <is>
          <t>Koeze 6-jar case $41.95 ≈ $6.99/jar</t>
        </is>
      </c>
      <c r="K5" t="inlineStr">
        <is>
          <t>26.5 oz (17 oz net)</t>
        </is>
      </c>
    </row>
    <row r="6">
      <c r="A6" t="n">
        <v>4</v>
      </c>
      <c r="B6" t="inlineStr">
        <is>
          <t>Germack In-Shell Peanuts 9 oz → tab "4 Peanuts"</t>
        </is>
      </c>
      <c r="C6" t="inlineStr">
        <is>
          <t>Market Square (either Birmingham store)</t>
        </is>
      </c>
      <c r="D6" t="n">
        <v>0.2</v>
      </c>
      <c r="F6" t="inlineStr">
        <is>
          <t>Best Birmingham stop</t>
        </is>
      </c>
      <c r="G6" t="inlineStr">
        <is>
          <t>Germack stockist</t>
        </is>
      </c>
      <c r="H6" t="inlineStr">
        <is>
          <t>Same stores as the cherries</t>
        </is>
      </c>
      <c r="J6" t="inlineStr">
        <is>
          <t>Germack 10 lb bulk $24.99 ≈ $1.40 per 9 oz (7 oz bag $4.25)</t>
        </is>
      </c>
      <c r="K6" t="inlineStr">
        <is>
          <t>9.4 oz (9 oz net)</t>
        </is>
      </c>
    </row>
    <row r="7">
      <c r="A7" t="n">
        <v>5</v>
      </c>
      <c r="B7" t="inlineStr">
        <is>
          <t>Pop Daddy Dill Pickle 7.5 oz → tab "5 Pretzels"</t>
        </is>
      </c>
      <c r="C7" t="inlineStr">
        <is>
          <t>Market Square, 34244 Woodward (10 Pop Daddy items listed)</t>
        </is>
      </c>
      <c r="D7" t="n">
        <v>0.2</v>
      </c>
      <c r="F7" t="inlineStr">
        <is>
          <t>Best Birmingham stop</t>
        </is>
      </c>
      <c r="G7" t="inlineStr">
        <is>
          <t>Pop Daddy stockist</t>
        </is>
      </c>
      <c r="H7" t="inlineStr">
        <is>
          <t>Case of 7.5 oz Dill Pickle direct: $100</t>
        </is>
      </c>
      <c r="I7" t="inlineStr">
        <is>
          <t>https://popdaddysnacks.com/pages/pop-daddy-for-wholesalers</t>
        </is>
      </c>
      <c r="J7" t="inlineStr">
        <is>
          <t>Single bags ~$4.79–$5 (skip the $100 case)</t>
        </is>
      </c>
      <c r="K7" t="inlineStr">
        <is>
          <t>8.0 oz (7.5 oz net)</t>
        </is>
      </c>
    </row>
    <row r="8">
      <c r="A8" t="n">
        <v>6</v>
      </c>
      <c r="B8" t="inlineStr">
        <is>
          <t>Kar’s Sweet ’N Salty 2 oz → tab "6 Kars"</t>
        </is>
      </c>
      <c r="C8" t="inlineStr">
        <is>
          <t>Costco, 30550 Stephenson Hwy, Madison Hts</t>
        </is>
      </c>
      <c r="D8" t="n">
        <v>6.3</v>
      </c>
      <c r="E8" t="inlineStr">
        <is>
          <t>(248) 616-0048</t>
        </is>
      </c>
      <c r="F8" t="inlineStr">
        <is>
          <t>Bulk</t>
        </is>
      </c>
      <c r="G8" t="inlineStr">
        <is>
          <t>Online listing</t>
        </is>
      </c>
      <c r="H8" t="inlineStr">
        <is>
          <t>24 ct × 2 oz ≈ $11; singles at Kroger 685 E Maple</t>
        </is>
      </c>
      <c r="I8" t="inlineStr">
        <is>
          <t>https://www.costco.com/.product.411389.html</t>
        </is>
      </c>
      <c r="J8" t="inlineStr">
        <is>
          <t>Sam’s Club 40-pk $17.48 ≈ $0.44/bag</t>
        </is>
      </c>
      <c r="K8" t="inlineStr">
        <is>
          <t>2.2 oz (2 oz net)</t>
        </is>
      </c>
    </row>
    <row r="9">
      <c r="A9" t="n">
        <v>7</v>
      </c>
      <c r="B9" t="inlineStr">
        <is>
          <t>Faygo Rock &amp; Rye 12 oz → tab "7 Faygo"</t>
        </is>
      </c>
      <c r="C9" t="inlineStr">
        <is>
          <t>Kroger, 685 E Maple, Birmingham</t>
        </is>
      </c>
      <c r="D9" t="n">
        <v>0.2</v>
      </c>
      <c r="F9" t="inlineStr">
        <is>
          <t>Grocery</t>
        </is>
      </c>
      <c r="G9" t="inlineStr">
        <is>
          <t>Widely stocked</t>
        </is>
      </c>
      <c r="H9" t="inlineStr">
        <is>
          <t>Use the Faygo locator to confirm the flavor</t>
        </is>
      </c>
      <c r="I9" t="inlineStr">
        <is>
          <t>https://www.faygo.com/store-locator</t>
        </is>
      </c>
      <c r="J9" t="inlineStr">
        <is>
          <t>In-store Kroger/Meijer 12-pack (skip online ~$24)</t>
        </is>
      </c>
      <c r="K9" t="inlineStr">
        <is>
          <t>13.0 oz (12 fl oz net)</t>
        </is>
      </c>
    </row>
    <row r="10">
      <c r="A10" t="n">
        <v>8</v>
      </c>
      <c r="B10" t="inlineStr">
        <is>
          <t>Greetings from Detroit Card → tab "8 Card"</t>
        </is>
      </c>
      <c r="C10" t="inlineStr">
        <is>
          <t>Paper Source, 115 W Maple, Birmingham</t>
        </is>
      </c>
      <c r="D10" t="n">
        <v>0.2</v>
      </c>
      <c r="F10" t="inlineStr">
        <is>
          <t>Stationery</t>
        </is>
      </c>
      <c r="G10" t="inlineStr">
        <is>
          <t>Listed</t>
        </is>
      </c>
      <c r="H10" t="inlineStr">
        <is>
          <t>For Detroit-artist cards: City Bird, Midtown Detroit</t>
        </is>
      </c>
      <c r="J10" t="inlineStr">
        <is>
          <t>Custom print run (get quotes)</t>
        </is>
      </c>
      <c r="K10" t="inlineStr">
        <is>
          <t>1.0 oz (5×7 in net)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8" customWidth="1" min="3" max="3"/>
    <col width="32" customWidth="1" min="4" max="4"/>
    <col width="60" customWidth="1" min="5" max="5"/>
  </cols>
  <sheetData>
    <row r="1" ht="36" customHeight="1">
      <c r="A1" s="5" t="inlineStr">
        <is>
          <t>Shipping weight and box. Weights are estimates; weigh one packed box on a postal scale and enter that number in your label software.</t>
        </is>
      </c>
    </row>
    <row r="3">
      <c r="A3" s="2" t="inlineStr">
        <is>
          <t>Item</t>
        </is>
      </c>
      <c r="B3" s="2" t="inlineStr">
        <is>
          <t>Net weight</t>
        </is>
      </c>
      <c r="C3" s="2" t="inlineStr">
        <is>
          <t>Est. weight w/ own packaging (oz)</t>
        </is>
      </c>
      <c r="D3" s="2" t="inlineStr">
        <is>
          <t>Approx. size</t>
        </is>
      </c>
      <c r="E3" s="2" t="inlineStr">
        <is>
          <t>Notes</t>
        </is>
      </c>
    </row>
    <row r="4">
      <c r="A4" t="inlineStr">
        <is>
          <t>Germack Dried Cherries</t>
        </is>
      </c>
      <c r="B4" t="inlineStr">
        <is>
          <t>8 oz</t>
        </is>
      </c>
      <c r="C4" t="n">
        <v>8.4</v>
      </c>
      <c r="D4" t="inlineStr">
        <is>
          <t>flat bag ~6×9×1.5 in</t>
        </is>
      </c>
    </row>
    <row r="5">
      <c r="A5" t="inlineStr">
        <is>
          <t>Mackinac Island Fudge slab</t>
        </is>
      </c>
      <c r="B5" t="inlineStr">
        <is>
          <t>8 oz</t>
        </is>
      </c>
      <c r="C5" t="n">
        <v>9</v>
      </c>
      <c r="D5" t="inlineStr">
        <is>
          <t>wrapped slab ~5×3×1 in</t>
        </is>
      </c>
      <c r="E5" t="inlineStr">
        <is>
          <t>Freezes and is heat-sensitive: avoid hot trucks in summer.</t>
        </is>
      </c>
    </row>
    <row r="6">
      <c r="A6" t="inlineStr">
        <is>
          <t>Koeze Cream-Nut (glass jar)</t>
        </is>
      </c>
      <c r="B6" t="inlineStr">
        <is>
          <t>17 oz</t>
        </is>
      </c>
      <c r="C6" t="n">
        <v>26.5</v>
      </c>
      <c r="D6" t="inlineStr">
        <is>
          <t>jar ~3.3 in dia × 4.6 in tall</t>
        </is>
      </c>
      <c r="E6" t="inlineStr">
        <is>
          <t>Glass jar is the heaviest item. Wrap it and keep it centered.</t>
        </is>
      </c>
    </row>
    <row r="7">
      <c r="A7" t="inlineStr">
        <is>
          <t>Germack In-Shell Peanuts</t>
        </is>
      </c>
      <c r="B7" t="inlineStr">
        <is>
          <t>9 oz</t>
        </is>
      </c>
      <c r="C7" t="n">
        <v>9.4</v>
      </c>
      <c r="D7" t="inlineStr">
        <is>
          <t>bag ~6×10×2.5 in</t>
        </is>
      </c>
    </row>
    <row r="8">
      <c r="A8" t="inlineStr">
        <is>
          <t>Pop Daddy Dill Pickle Pretzels</t>
        </is>
      </c>
      <c r="B8" t="inlineStr">
        <is>
          <t>7.5 oz</t>
        </is>
      </c>
      <c r="C8" t="n">
        <v>8</v>
      </c>
      <c r="D8" t="inlineStr">
        <is>
          <t>bag ~7×11×2.5 in (puffy)</t>
        </is>
      </c>
    </row>
    <row r="9">
      <c r="A9" t="inlineStr">
        <is>
          <t>Kar’s Sweet ’N Salty</t>
        </is>
      </c>
      <c r="B9" t="inlineStr">
        <is>
          <t>2 oz</t>
        </is>
      </c>
      <c r="C9" t="n">
        <v>2.2</v>
      </c>
      <c r="D9" t="inlineStr">
        <is>
          <t>bag ~4×6 in</t>
        </is>
      </c>
    </row>
    <row r="10">
      <c r="A10" t="inlineStr">
        <is>
          <t>Faygo Rock &amp; Rye can</t>
        </is>
      </c>
      <c r="B10" t="inlineStr">
        <is>
          <t>12 fl oz</t>
        </is>
      </c>
      <c r="C10" t="n">
        <v>13</v>
      </c>
      <c r="D10" t="inlineStr">
        <is>
          <t>can 2.6 in dia × 4.8 in</t>
        </is>
      </c>
      <c r="E10" t="inlineStr">
        <is>
          <t>Can may burst if it freezes (Nov–Mar). Bag it in case it leaks.</t>
        </is>
      </c>
    </row>
    <row r="11">
      <c r="A11" t="inlineStr">
        <is>
          <t>Greetings from Detroit card + envelope</t>
        </is>
      </c>
      <c r="B11" t="inlineStr">
        <is>
          <t>5×7 in</t>
        </is>
      </c>
      <c r="C11" t="n">
        <v>1</v>
      </c>
      <c r="D11" t="inlineStr">
        <is>
          <t>5.25×7.25 in</t>
        </is>
      </c>
    </row>
    <row r="12">
      <c r="A12" s="3" t="inlineStr">
        <is>
          <t>Contents subtotal</t>
        </is>
      </c>
      <c r="C12">
        <f>SUM(C4:C11)</f>
        <v/>
      </c>
      <c r="D12" t="inlineStr">
        <is>
          <t>≈ 4.8 lb</t>
        </is>
      </c>
    </row>
    <row r="13">
      <c r="A13" t="inlineStr">
        <is>
          <t>Gift box + shipping box + filler (est.)</t>
        </is>
      </c>
      <c r="C13" t="n">
        <v>20</v>
      </c>
      <c r="D13" t="inlineStr">
        <is>
          <t>≈ 1–1.5 lb, depends on your box</t>
        </is>
      </c>
    </row>
    <row r="14">
      <c r="A14" s="3" t="inlineStr">
        <is>
          <t>ESTIMATED TOTAL SHIPPED WEIGHT</t>
        </is>
      </c>
      <c r="C14">
        <f>C12+C13</f>
        <v/>
      </c>
      <c r="D14">
        <f>ROUND(C14/16,1)&amp;" lb"</f>
        <v/>
      </c>
    </row>
    <row r="16">
      <c r="A16" s="3" t="inlineStr">
        <is>
          <t>BOX SIZE</t>
        </is>
      </c>
    </row>
    <row r="17">
      <c r="A17" t="inlineStr">
        <is>
          <t>Sample box in your label tool</t>
        </is>
      </c>
      <c r="B17" t="inlineStr">
        <is>
          <t>8.6 × 5.4 × 1.6 in</t>
        </is>
      </c>
      <c r="E17" t="inlineStr">
        <is>
          <t>Too small: the jar and can alone are taller than 1.6 in</t>
        </is>
      </c>
    </row>
    <row r="18">
      <c r="A18" t="inlineStr">
        <is>
          <t>Suggested shipping box</t>
        </is>
      </c>
      <c r="B18" t="inlineStr">
        <is>
          <t>12 × 10 × 6 in (or 12 × 9 × 6)</t>
        </is>
      </c>
      <c r="E18" t="inlineStr">
        <is>
          <t>Fits a gift box with all 8 items plus filler</t>
        </is>
      </c>
    </row>
    <row r="19">
      <c r="A19" t="inlineStr">
        <is>
          <t>Dimensional weight (UPS/FedEx, ÷139)</t>
        </is>
      </c>
      <c r="B19" t="inlineStr">
        <is>
          <t>12×10×6 = 720 in³ ÷ 139 ≈ 5.2 lb</t>
        </is>
      </c>
      <c r="E19" t="inlineStr">
        <is>
          <t>Lower than the actual ~6.1 lb, so you are billed on actual weight</t>
        </is>
      </c>
    </row>
    <row r="20">
      <c r="A20" t="inlineStr">
        <is>
          <t>USPS Ground Advantage</t>
        </is>
      </c>
      <c r="B20" t="inlineStr">
        <is>
          <t>Dim weight only applies over 1 cu ft (1,728 in³)</t>
        </is>
      </c>
      <c r="E20" t="inlineStr">
        <is>
          <t>Billed on actual weight, rounded up to the next lb (≈ 7 lb)</t>
        </is>
      </c>
    </row>
    <row r="21">
      <c r="A21" t="inlineStr">
        <is>
          <t>Enter in label tool</t>
        </is>
      </c>
      <c r="B21" t="inlineStr">
        <is>
          <t>Box, 12 × 10 × 6 in, total ≈ 6.1 lb (confirm on a scale)</t>
        </is>
      </c>
      <c r="E21" t="inlineStr">
        <is>
          <t>Then re-check rates. The $6.70 quote was based on 3.6 lb.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40" customWidth="1" min="3" max="3"/>
    <col width="10" customWidth="1" min="4" max="4"/>
    <col width="16" customWidth="1" min="5" max="5"/>
    <col width="16" customWidth="1" min="6" max="6"/>
    <col width="16" customWidth="1" min="7" max="7"/>
    <col width="52" customWidth="1" min="8" max="8"/>
    <col width="40" customWidth="1" min="9" max="9"/>
    <col width="30" customWidth="1" min="10" max="10"/>
  </cols>
  <sheetData>
    <row r="1" ht="60" customHeight="1">
      <c r="A1" s="1" t="inlineStr">
        <is>
          <t>Germack Dried Michigan Cherries, 8 oz. The brand store and factory are listed first, then Germack stockists within 8 miles of Birmingham (groceries, markets, party and gift stores), nearest first.</t>
        </is>
      </c>
    </row>
    <row r="2">
      <c r="A2" s="2" t="inlineStr">
        <is>
          <t>#</t>
        </is>
      </c>
      <c r="B2" s="2" t="inlineStr">
        <is>
          <t>Place</t>
        </is>
      </c>
      <c r="C2" s="2" t="inlineStr">
        <is>
          <t>Address</t>
        </is>
      </c>
      <c r="D2" s="2" t="inlineStr">
        <is>
          <t>Miles from Birmingham</t>
        </is>
      </c>
      <c r="E2" s="2" t="inlineStr">
        <is>
          <t>Phone</t>
        </is>
      </c>
      <c r="F2" s="2" t="inlineStr">
        <is>
          <t>Type</t>
        </is>
      </c>
      <c r="G2" s="2" t="inlineStr">
        <is>
          <t>Confidence</t>
        </is>
      </c>
      <c r="H2" s="2" t="inlineStr">
        <is>
          <t>Notes</t>
        </is>
      </c>
      <c r="I2" s="2" t="inlineStr">
        <is>
          <t>Link</t>
        </is>
      </c>
      <c r="J2" s="2" t="inlineStr">
        <is>
          <t>Est. price</t>
        </is>
      </c>
    </row>
    <row r="3">
      <c r="A3" t="n">
        <v>1</v>
      </c>
      <c r="B3" t="inlineStr">
        <is>
          <t>Germack Pistachio Co. – Retail Nut Store</t>
        </is>
      </c>
      <c r="C3" t="inlineStr">
        <is>
          <t>2509 Russell St, Detroit 48207</t>
        </is>
      </c>
      <c r="D3" t="n">
        <v>16.6</v>
      </c>
      <c r="E3" t="inlineStr">
        <is>
          <t>313-784-9484</t>
        </is>
      </c>
      <c r="F3" t="inlineStr">
        <is>
          <t>Brand store</t>
        </is>
      </c>
      <c r="G3" t="inlineStr">
        <is>
          <t>Confirmed</t>
        </is>
      </c>
      <c r="H3" t="inlineStr">
        <is>
          <t>Mon–Sat 8–3, Eastern Market. Surest source of the exact bag.</t>
        </is>
      </c>
      <c r="I3" t="inlineStr">
        <is>
          <t>https://www.germack.com</t>
        </is>
      </c>
      <c r="J3" t="inlineStr">
        <is>
          <t>$14.24</t>
        </is>
      </c>
    </row>
    <row r="4">
      <c r="A4" t="n">
        <v>2</v>
      </c>
      <c r="B4" t="inlineStr">
        <is>
          <t>Germack Factory – Wholesale</t>
        </is>
      </c>
      <c r="C4" t="inlineStr">
        <is>
          <t>2140 Wilkins St, Detroit 48207</t>
        </is>
      </c>
      <c r="D4" t="n">
        <v>16.6</v>
      </c>
      <c r="E4" t="inlineStr">
        <is>
          <t>313-393-2000</t>
        </is>
      </c>
      <c r="F4" t="inlineStr">
        <is>
          <t>Wholesale</t>
        </is>
      </c>
      <c r="G4" t="inlineStr">
        <is>
          <t>Confirmed</t>
        </is>
      </c>
      <c r="H4" t="inlineStr">
        <is>
          <t>Call for bulk/case pricing.</t>
        </is>
      </c>
      <c r="I4" t="inlineStr">
        <is>
          <t>https://www.germack.com</t>
        </is>
      </c>
      <c r="J4" t="inlineStr">
        <is>
          <t>Wholesale (ask)</t>
        </is>
      </c>
    </row>
    <row r="5">
      <c r="A5" t="n">
        <v>3</v>
      </c>
      <c r="B5" t="inlineStr">
        <is>
          <t>germack.com (online)</t>
        </is>
      </c>
      <c r="C5" t="inlineStr">
        <is>
          <t>Ships</t>
        </is>
      </c>
      <c r="F5" t="inlineStr">
        <is>
          <t>Online</t>
        </is>
      </c>
      <c r="G5" t="inlineStr">
        <is>
          <t>Confirmed</t>
        </is>
      </c>
      <c r="H5" t="inlineStr">
        <is>
          <t>Order direct if local stock is short.</t>
        </is>
      </c>
      <c r="I5" t="inlineStr">
        <is>
          <t>https://www.germack.com</t>
        </is>
      </c>
      <c r="J5" t="inlineStr">
        <is>
          <t>$14.24</t>
        </is>
      </c>
    </row>
    <row r="6">
      <c r="A6" s="6" t="n">
        <v>4</v>
      </c>
      <c r="B6" s="6" t="inlineStr">
        <is>
          <t>Beverage Warehouse</t>
        </is>
      </c>
      <c r="C6" s="6" t="inlineStr">
        <is>
          <t>31111 Greenfield, Beverly Hills MI 48009</t>
        </is>
      </c>
      <c r="D6" s="6" t="n">
        <v>0.2</v>
      </c>
      <c r="E6" s="6" t="n"/>
      <c r="F6" s="6" t="inlineStr">
        <is>
          <t>Stockist</t>
        </is>
      </c>
      <c r="G6" s="6" t="inlineStr">
        <is>
          <t>Germack locator</t>
        </is>
      </c>
      <c r="H6" s="6" t="n"/>
      <c r="I6" s="6" t="n"/>
      <c r="J6" s="6" t="inlineStr">
        <is>
          <t>~$12–$16 (est.)</t>
        </is>
      </c>
    </row>
    <row r="7">
      <c r="A7" s="6" t="n">
        <v>5</v>
      </c>
      <c r="B7" s="6" t="inlineStr">
        <is>
          <t>Market Square #1 - Birmingham</t>
        </is>
      </c>
      <c r="C7" s="6" t="inlineStr">
        <is>
          <t>1964 Southfield Rd, Birmingham MI 48009</t>
        </is>
      </c>
      <c r="D7" s="6" t="n">
        <v>0.2</v>
      </c>
      <c r="E7" s="6" t="n"/>
      <c r="F7" s="6" t="inlineStr">
        <is>
          <t>Stockist</t>
        </is>
      </c>
      <c r="G7" s="6" t="inlineStr">
        <is>
          <t>Germack locator</t>
        </is>
      </c>
      <c r="H7" s="6" t="inlineStr">
        <is>
          <t>Also Pop Daddy</t>
        </is>
      </c>
      <c r="I7" s="6" t="n"/>
      <c r="J7" s="6" t="inlineStr">
        <is>
          <t>~$12–$16 (est.)</t>
        </is>
      </c>
    </row>
    <row r="8">
      <c r="A8" s="6" t="n">
        <v>6</v>
      </c>
      <c r="B8" s="6" t="inlineStr">
        <is>
          <t>Market Square (former Papa Joe’s)</t>
        </is>
      </c>
      <c r="C8" s="6" t="inlineStr">
        <is>
          <t>34244 Woodward, Birmingham MI 48009</t>
        </is>
      </c>
      <c r="D8" s="6" t="n">
        <v>0.2</v>
      </c>
      <c r="E8" s="6" t="n"/>
      <c r="F8" s="6" t="inlineStr">
        <is>
          <t>Stockist</t>
        </is>
      </c>
      <c r="G8" s="6" t="inlineStr">
        <is>
          <t>Germack locator</t>
        </is>
      </c>
      <c r="H8" s="6" t="inlineStr">
        <is>
          <t>Also Pop Daddy</t>
        </is>
      </c>
      <c r="I8" s="6" t="n"/>
      <c r="J8" s="6" t="inlineStr">
        <is>
          <t>~$12–$16 (est.)</t>
        </is>
      </c>
    </row>
    <row r="9">
      <c r="A9" t="n">
        <v>7</v>
      </c>
      <c r="B9" t="inlineStr">
        <is>
          <t>Hollywood Market #3 - Troy</t>
        </is>
      </c>
      <c r="C9" t="inlineStr">
        <is>
          <t>2670 W. Maple, Troy MI 48084</t>
        </is>
      </c>
      <c r="D9" t="n">
        <v>1.9</v>
      </c>
      <c r="F9" t="inlineStr">
        <is>
          <t>Stockist</t>
        </is>
      </c>
      <c r="G9" t="inlineStr">
        <is>
          <t>Germack locator</t>
        </is>
      </c>
      <c r="J9" t="inlineStr">
        <is>
          <t>~$12–$16 (est.)</t>
        </is>
      </c>
    </row>
    <row r="10">
      <c r="A10" s="6" t="n">
        <v>8</v>
      </c>
      <c r="B10" s="6" t="inlineStr">
        <is>
          <t>Troy Cheese &amp; Wine Barn</t>
        </is>
      </c>
      <c r="C10" s="6" t="inlineStr">
        <is>
          <t>2558 E. Maple, Troy MI 48084</t>
        </is>
      </c>
      <c r="D10" s="6" t="n">
        <v>1.9</v>
      </c>
      <c r="E10" s="6" t="n"/>
      <c r="F10" s="6" t="inlineStr">
        <is>
          <t>Stockist</t>
        </is>
      </c>
      <c r="G10" s="6" t="inlineStr">
        <is>
          <t>Germack locator</t>
        </is>
      </c>
      <c r="H10" s="6" t="n"/>
      <c r="I10" s="6" t="n"/>
      <c r="J10" s="6" t="inlineStr">
        <is>
          <t>~$12–$16 (est.)</t>
        </is>
      </c>
    </row>
    <row r="11">
      <c r="A11" s="6" t="n">
        <v>9</v>
      </c>
      <c r="B11" s="6" t="inlineStr">
        <is>
          <t>Market Fresh - Bev Hills</t>
        </is>
      </c>
      <c r="C11" s="6" t="inlineStr">
        <is>
          <t>31201 Southfield, Beverly Hills MI 48025</t>
        </is>
      </c>
      <c r="D11" s="6" t="n">
        <v>2.7</v>
      </c>
      <c r="E11" s="6" t="n"/>
      <c r="F11" s="6" t="inlineStr">
        <is>
          <t>Stockist</t>
        </is>
      </c>
      <c r="G11" s="6" t="inlineStr">
        <is>
          <t>Germack locator</t>
        </is>
      </c>
      <c r="H11" s="6" t="inlineStr">
        <is>
          <t>Also Pop Daddy</t>
        </is>
      </c>
      <c r="I11" s="6" t="n"/>
      <c r="J11" s="6" t="inlineStr">
        <is>
          <t>~$12–$16 (est.)</t>
        </is>
      </c>
    </row>
    <row r="12">
      <c r="A12" s="6" t="n">
        <v>10</v>
      </c>
      <c r="B12" s="6" t="inlineStr">
        <is>
          <t>BLOOMFIELD MOBIL</t>
        </is>
      </c>
      <c r="C12" s="6" t="inlineStr">
        <is>
          <t>1501 SOUTH OPDYKE RD, BLOOMFIELD TWP MI 48304</t>
        </is>
      </c>
      <c r="D12" s="6" t="n">
        <v>3.1</v>
      </c>
      <c r="E12" s="6" t="n"/>
      <c r="F12" s="6" t="inlineStr">
        <is>
          <t>Stockist</t>
        </is>
      </c>
      <c r="G12" s="6" t="inlineStr">
        <is>
          <t>Germack locator</t>
        </is>
      </c>
      <c r="H12" s="6" t="n"/>
      <c r="I12" s="6" t="n"/>
      <c r="J12" s="6" t="inlineStr">
        <is>
          <t>~$12–$16 (est.)</t>
        </is>
      </c>
    </row>
    <row r="13">
      <c r="A13" t="n">
        <v>11</v>
      </c>
      <c r="B13" t="inlineStr">
        <is>
          <t>Bloomfield Deli</t>
        </is>
      </c>
      <c r="C13" t="inlineStr">
        <is>
          <t>71 West Long Lake Road, Bloomfield Hills MI 48304</t>
        </is>
      </c>
      <c r="D13" t="n">
        <v>3.1</v>
      </c>
      <c r="F13" t="inlineStr">
        <is>
          <t>Stockist</t>
        </is>
      </c>
      <c r="G13" t="inlineStr">
        <is>
          <t>Germack locator</t>
        </is>
      </c>
      <c r="J13" t="inlineStr">
        <is>
          <t>~$12–$16 (est.)</t>
        </is>
      </c>
    </row>
    <row r="14">
      <c r="A14" t="n">
        <v>12</v>
      </c>
      <c r="B14" t="inlineStr">
        <is>
          <t>Hollywood Market #4</t>
        </is>
      </c>
      <c r="C14" t="inlineStr">
        <is>
          <t>1525 Opdyke, Bloomfield Hills MI 48304</t>
        </is>
      </c>
      <c r="D14" t="n">
        <v>3.1</v>
      </c>
      <c r="F14" t="inlineStr">
        <is>
          <t>Stockist</t>
        </is>
      </c>
      <c r="G14" t="inlineStr">
        <is>
          <t>Germack locator</t>
        </is>
      </c>
      <c r="J14" t="inlineStr">
        <is>
          <t>~$12–$16 (est.)</t>
        </is>
      </c>
    </row>
    <row r="15">
      <c r="A15" t="n">
        <v>13</v>
      </c>
      <c r="B15" t="inlineStr">
        <is>
          <t>Hollywood Market #4 - Bloomfield Hills Opdyke</t>
        </is>
      </c>
      <c r="C15" t="inlineStr">
        <is>
          <t>1525 Opdyke -, Bloomfield Hills MI 48304</t>
        </is>
      </c>
      <c r="D15" t="n">
        <v>3.1</v>
      </c>
      <c r="F15" t="inlineStr">
        <is>
          <t>Stockist</t>
        </is>
      </c>
      <c r="G15" t="inlineStr">
        <is>
          <t>Germack locator</t>
        </is>
      </c>
      <c r="J15" t="inlineStr">
        <is>
          <t>~$12–$16 (est.)</t>
        </is>
      </c>
    </row>
    <row r="16">
      <c r="A16" s="6" t="n">
        <v>14</v>
      </c>
      <c r="B16" s="6" t="inlineStr">
        <is>
          <t>Westborn Market - Berkley</t>
        </is>
      </c>
      <c r="C16" s="6" t="inlineStr">
        <is>
          <t>27659 Woodward Rd., Berkley MI 48072</t>
        </is>
      </c>
      <c r="D16" s="6" t="n">
        <v>3.2</v>
      </c>
      <c r="E16" s="6" t="n"/>
      <c r="F16" s="6" t="inlineStr">
        <is>
          <t>Stockist</t>
        </is>
      </c>
      <c r="G16" s="6" t="inlineStr">
        <is>
          <t>Germack locator</t>
        </is>
      </c>
      <c r="H16" s="6" t="inlineStr">
        <is>
          <t>Also Pop Daddy</t>
        </is>
      </c>
      <c r="I16" s="6" t="n"/>
      <c r="J16" s="6" t="inlineStr">
        <is>
          <t>~$12–$16 (est.)</t>
        </is>
      </c>
    </row>
    <row r="17">
      <c r="A17" s="6" t="n">
        <v>15</v>
      </c>
      <c r="B17" s="6" t="inlineStr">
        <is>
          <t>Campbell Party Store</t>
        </is>
      </c>
      <c r="C17" s="6" t="inlineStr">
        <is>
          <t>3321 Campbell, Royal Oak MI 48073</t>
        </is>
      </c>
      <c r="D17" s="6" t="n">
        <v>3.4</v>
      </c>
      <c r="E17" s="6" t="n"/>
      <c r="F17" s="6" t="inlineStr">
        <is>
          <t>Stockist</t>
        </is>
      </c>
      <c r="G17" s="6" t="inlineStr">
        <is>
          <t>Germack locator</t>
        </is>
      </c>
      <c r="H17" s="6" t="n"/>
      <c r="I17" s="6" t="n"/>
      <c r="J17" s="6" t="inlineStr">
        <is>
          <t>~$12–$16 (est.)</t>
        </is>
      </c>
    </row>
    <row r="18">
      <c r="A18" t="n">
        <v>16</v>
      </c>
      <c r="B18" t="inlineStr">
        <is>
          <t>Woodward Corner Market</t>
        </is>
      </c>
      <c r="C18" t="inlineStr">
        <is>
          <t>30955 Woodward Ave, Royal Oak MI 48073</t>
        </is>
      </c>
      <c r="D18" t="n">
        <v>3.4</v>
      </c>
      <c r="F18" t="inlineStr">
        <is>
          <t>Stockist</t>
        </is>
      </c>
      <c r="G18" t="inlineStr">
        <is>
          <t>Germack locator</t>
        </is>
      </c>
      <c r="J18" t="inlineStr">
        <is>
          <t>~$12–$16 (est.)</t>
        </is>
      </c>
    </row>
    <row r="19">
      <c r="A19" t="n">
        <v>17</v>
      </c>
      <c r="B19" t="inlineStr">
        <is>
          <t>Cindy's Gifts</t>
        </is>
      </c>
      <c r="C19" t="inlineStr">
        <is>
          <t>3131 East Bradford Drive, Bloomfield Hills MI 48301</t>
        </is>
      </c>
      <c r="D19" t="n">
        <v>3.5</v>
      </c>
      <c r="F19" t="inlineStr">
        <is>
          <t>Stockist</t>
        </is>
      </c>
      <c r="G19" t="inlineStr">
        <is>
          <t>Germack locator</t>
        </is>
      </c>
      <c r="J19" t="inlineStr">
        <is>
          <t>~$12–$16 (est.)</t>
        </is>
      </c>
    </row>
    <row r="20">
      <c r="A20" s="6" t="n">
        <v>18</v>
      </c>
      <c r="B20" s="6" t="inlineStr">
        <is>
          <t>MOBIL - TELEGRAPH</t>
        </is>
      </c>
      <c r="C20" s="6" t="inlineStr">
        <is>
          <t>6490 TELEGRAPH RD, BLOOMFIELD HILLS MI 48301</t>
        </is>
      </c>
      <c r="D20" s="6" t="n">
        <v>3.5</v>
      </c>
      <c r="E20" s="6" t="n"/>
      <c r="F20" s="6" t="inlineStr">
        <is>
          <t>Stockist</t>
        </is>
      </c>
      <c r="G20" s="6" t="inlineStr">
        <is>
          <t>Germack locator</t>
        </is>
      </c>
      <c r="H20" s="6" t="n"/>
      <c r="I20" s="6" t="n"/>
      <c r="J20" s="6" t="inlineStr">
        <is>
          <t>~$12–$16 (est.)</t>
        </is>
      </c>
    </row>
    <row r="21">
      <c r="A21" t="n">
        <v>19</v>
      </c>
      <c r="B21" t="inlineStr">
        <is>
          <t>Nino Salvaggio</t>
        </is>
      </c>
      <c r="C21" t="inlineStr">
        <is>
          <t>6592 Telegraph, Bloomfield Twp MI 48301</t>
        </is>
      </c>
      <c r="D21" t="n">
        <v>3.5</v>
      </c>
      <c r="F21" t="inlineStr">
        <is>
          <t>Stockist</t>
        </is>
      </c>
      <c r="G21" t="inlineStr">
        <is>
          <t>Germack locator</t>
        </is>
      </c>
      <c r="J21" t="inlineStr">
        <is>
          <t>~$12–$16 (est.)</t>
        </is>
      </c>
    </row>
    <row r="22">
      <c r="A22" s="6" t="n">
        <v>20</v>
      </c>
      <c r="B22" s="6" t="inlineStr">
        <is>
          <t>Plum Market</t>
        </is>
      </c>
      <c r="C22" s="6" t="inlineStr">
        <is>
          <t>3675 W Maple, Bloomfield Hills MI 48301</t>
        </is>
      </c>
      <c r="D22" s="6" t="n">
        <v>3.5</v>
      </c>
      <c r="E22" s="6" t="n"/>
      <c r="F22" s="6" t="inlineStr">
        <is>
          <t>Stockist</t>
        </is>
      </c>
      <c r="G22" s="6" t="inlineStr">
        <is>
          <t>Germack locator</t>
        </is>
      </c>
      <c r="H22" s="6" t="inlineStr">
        <is>
          <t>Also Pop Daddy</t>
        </is>
      </c>
      <c r="I22" s="6" t="n"/>
      <c r="J22" s="6" t="inlineStr">
        <is>
          <t>~$12–$16 (est.)</t>
        </is>
      </c>
    </row>
    <row r="23">
      <c r="A23" s="6" t="n">
        <v>21</v>
      </c>
      <c r="B23" s="6" t="inlineStr">
        <is>
          <t>Plum Market - Bloomfield Hills</t>
        </is>
      </c>
      <c r="C23" s="6" t="inlineStr">
        <is>
          <t>3675 W Maple, Bloomfield Hills MI 48301</t>
        </is>
      </c>
      <c r="D23" s="6" t="n">
        <v>3.5</v>
      </c>
      <c r="E23" s="6" t="n"/>
      <c r="F23" s="6" t="inlineStr">
        <is>
          <t>Stockist</t>
        </is>
      </c>
      <c r="G23" s="6" t="inlineStr">
        <is>
          <t>Germack locator</t>
        </is>
      </c>
      <c r="H23" s="6" t="inlineStr">
        <is>
          <t>Also Pop Daddy</t>
        </is>
      </c>
      <c r="I23" s="6" t="n"/>
      <c r="J23" s="6" t="inlineStr">
        <is>
          <t>~$12–$16 (est.)</t>
        </is>
      </c>
    </row>
    <row r="24">
      <c r="A24" s="6" t="n">
        <v>22</v>
      </c>
      <c r="B24" s="6" t="inlineStr">
        <is>
          <t>Shell _Bloomfield - Barbat</t>
        </is>
      </c>
      <c r="C24" s="6" t="inlineStr">
        <is>
          <t>3690 W Maple, West Bloomfiled MI 48301</t>
        </is>
      </c>
      <c r="D24" s="6" t="n">
        <v>3.5</v>
      </c>
      <c r="E24" s="6" t="n"/>
      <c r="F24" s="6" t="inlineStr">
        <is>
          <t>Stockist</t>
        </is>
      </c>
      <c r="G24" s="6" t="inlineStr">
        <is>
          <t>Germack locator</t>
        </is>
      </c>
      <c r="H24" s="6" t="n"/>
      <c r="I24" s="6" t="n"/>
      <c r="J24" s="6" t="inlineStr">
        <is>
          <t>~$12–$16 (est.)</t>
        </is>
      </c>
    </row>
    <row r="25">
      <c r="A25" t="n">
        <v>23</v>
      </c>
      <c r="B25" t="inlineStr">
        <is>
          <t>John's Market</t>
        </is>
      </c>
      <c r="C25" t="inlineStr">
        <is>
          <t>75 E. Square Lake Rd., Troy MI 48098</t>
        </is>
      </c>
      <c r="D25" t="n">
        <v>4</v>
      </c>
      <c r="F25" t="inlineStr">
        <is>
          <t>Stockist</t>
        </is>
      </c>
      <c r="G25" t="inlineStr">
        <is>
          <t>Germack locator</t>
        </is>
      </c>
      <c r="J25" t="inlineStr">
        <is>
          <t>~$12–$16 (est.)</t>
        </is>
      </c>
    </row>
    <row r="26">
      <c r="A26" s="6" t="n">
        <v>24</v>
      </c>
      <c r="B26" s="6" t="inlineStr">
        <is>
          <t>Manny's Liquor</t>
        </is>
      </c>
      <c r="C26" s="6" t="inlineStr">
        <is>
          <t>42951 Dequindre, Troy MI 48098</t>
        </is>
      </c>
      <c r="D26" s="6" t="n">
        <v>4</v>
      </c>
      <c r="E26" s="6" t="n"/>
      <c r="F26" s="6" t="inlineStr">
        <is>
          <t>Stockist</t>
        </is>
      </c>
      <c r="G26" s="6" t="inlineStr">
        <is>
          <t>Germack locator</t>
        </is>
      </c>
      <c r="H26" s="6" t="n"/>
      <c r="I26" s="6" t="n"/>
      <c r="J26" s="6" t="inlineStr">
        <is>
          <t>~$12–$16 (est.)</t>
        </is>
      </c>
    </row>
    <row r="27">
      <c r="A27" s="6" t="n">
        <v>25</v>
      </c>
      <c r="B27" s="6" t="inlineStr">
        <is>
          <t>Bloomfield Wine &amp; Spirits</t>
        </is>
      </c>
      <c r="C27" s="6" t="inlineStr">
        <is>
          <t>1081 W. Long Lake Road, Bloomfield Hills MI 48302</t>
        </is>
      </c>
      <c r="D27" s="6" t="n">
        <v>4.5</v>
      </c>
      <c r="E27" s="6" t="n"/>
      <c r="F27" s="6" t="inlineStr">
        <is>
          <t>Stockist</t>
        </is>
      </c>
      <c r="G27" s="6" t="inlineStr">
        <is>
          <t>Germack locator</t>
        </is>
      </c>
      <c r="H27" s="6" t="n"/>
      <c r="I27" s="6" t="n"/>
      <c r="J27" s="6" t="inlineStr">
        <is>
          <t>~$12–$16 (est.)</t>
        </is>
      </c>
    </row>
    <row r="28">
      <c r="A28" t="n">
        <v>26</v>
      </c>
      <c r="B28" t="inlineStr">
        <is>
          <t>Majestic Market</t>
        </is>
      </c>
      <c r="C28" t="inlineStr">
        <is>
          <t>25877 Lasher, Southfield MI 48034</t>
        </is>
      </c>
      <c r="D28" t="n">
        <v>5.3</v>
      </c>
      <c r="F28" t="inlineStr">
        <is>
          <t>Stockist</t>
        </is>
      </c>
      <c r="G28" t="inlineStr">
        <is>
          <t>Germack locator</t>
        </is>
      </c>
      <c r="J28" t="inlineStr">
        <is>
          <t>~$12–$16 (est.)</t>
        </is>
      </c>
    </row>
    <row r="29">
      <c r="A29" t="n">
        <v>27</v>
      </c>
      <c r="B29" t="inlineStr">
        <is>
          <t>Fresh Approach - Royal Oak</t>
        </is>
      </c>
      <c r="C29" t="inlineStr">
        <is>
          <t>805 S. Campbell, Royal Oak MI 48067</t>
        </is>
      </c>
      <c r="D29" t="n">
        <v>5.4</v>
      </c>
      <c r="F29" t="inlineStr">
        <is>
          <t>Stockist</t>
        </is>
      </c>
      <c r="G29" t="inlineStr">
        <is>
          <t>Germack locator</t>
        </is>
      </c>
      <c r="J29" t="inlineStr">
        <is>
          <t>~$12–$16 (est.)</t>
        </is>
      </c>
    </row>
    <row r="30">
      <c r="A30" t="n">
        <v>28</v>
      </c>
      <c r="B30" t="inlineStr">
        <is>
          <t>Holiday Market - Royal Oak</t>
        </is>
      </c>
      <c r="C30" t="inlineStr">
        <is>
          <t>1203 South Main, Royal Oak MI 48067</t>
        </is>
      </c>
      <c r="D30" t="n">
        <v>5.4</v>
      </c>
      <c r="F30" t="inlineStr">
        <is>
          <t>Stockist</t>
        </is>
      </c>
      <c r="G30" t="inlineStr">
        <is>
          <t>Germack locator</t>
        </is>
      </c>
      <c r="J30" t="inlineStr">
        <is>
          <t>~$12–$16 (est.)</t>
        </is>
      </c>
    </row>
    <row r="31">
      <c r="A31" s="6" t="n">
        <v>29</v>
      </c>
      <c r="B31" s="6" t="inlineStr">
        <is>
          <t>Hollywood Market #2 - Royal Oak</t>
        </is>
      </c>
      <c r="C31" s="6" t="inlineStr">
        <is>
          <t>714 Main Street, Royal Oak MI 48067</t>
        </is>
      </c>
      <c r="D31" s="6" t="n">
        <v>5.4</v>
      </c>
      <c r="E31" s="6" t="n"/>
      <c r="F31" s="6" t="inlineStr">
        <is>
          <t>Stockist</t>
        </is>
      </c>
      <c r="G31" s="6" t="inlineStr">
        <is>
          <t>Germack locator</t>
        </is>
      </c>
      <c r="H31" s="6" t="inlineStr">
        <is>
          <t>Also Pop Daddy</t>
        </is>
      </c>
      <c r="I31" s="6" t="n"/>
      <c r="J31" s="6" t="inlineStr">
        <is>
          <t>~$12–$16 (est.)</t>
        </is>
      </c>
    </row>
    <row r="32">
      <c r="A32" t="n">
        <v>30</v>
      </c>
      <c r="B32" t="inlineStr">
        <is>
          <t>ROYAL OAK BEVERAGE</t>
        </is>
      </c>
      <c r="C32" t="inlineStr">
        <is>
          <t>2004 EAST 4TH ST, ROYAL OAK MI 48067</t>
        </is>
      </c>
      <c r="D32" t="n">
        <v>5.4</v>
      </c>
      <c r="F32" t="inlineStr">
        <is>
          <t>Stockist</t>
        </is>
      </c>
      <c r="G32" t="inlineStr">
        <is>
          <t>Germack locator</t>
        </is>
      </c>
      <c r="J32" t="inlineStr">
        <is>
          <t>~$12–$16 (est.)</t>
        </is>
      </c>
    </row>
    <row r="33">
      <c r="A33" t="n">
        <v>31</v>
      </c>
      <c r="B33" t="inlineStr">
        <is>
          <t>Oakland Liquor</t>
        </is>
      </c>
      <c r="C33" t="inlineStr">
        <is>
          <t>19606 West 10 Mile, Southfield MI 48075</t>
        </is>
      </c>
      <c r="D33" t="n">
        <v>5.8</v>
      </c>
      <c r="F33" t="inlineStr">
        <is>
          <t>Stockist</t>
        </is>
      </c>
      <c r="G33" t="inlineStr">
        <is>
          <t>Germack locator</t>
        </is>
      </c>
      <c r="J33" t="inlineStr">
        <is>
          <t>~$12–$16 (est.)</t>
        </is>
      </c>
    </row>
    <row r="34">
      <c r="A34" t="n">
        <v>32</v>
      </c>
      <c r="B34" t="inlineStr">
        <is>
          <t>Park Place Wine Shop</t>
        </is>
      </c>
      <c r="C34" t="inlineStr">
        <is>
          <t>25257 Evergreen, Southfield MI 48075</t>
        </is>
      </c>
      <c r="D34" t="n">
        <v>5.8</v>
      </c>
      <c r="F34" t="inlineStr">
        <is>
          <t>Stockist</t>
        </is>
      </c>
      <c r="G34" t="inlineStr">
        <is>
          <t>Germack locator</t>
        </is>
      </c>
      <c r="J34" t="inlineStr">
        <is>
          <t>~$12–$16 (est.)</t>
        </is>
      </c>
    </row>
    <row r="35">
      <c r="A35" t="n">
        <v>33</v>
      </c>
      <c r="B35" t="inlineStr">
        <is>
          <t>Prince Liquor</t>
        </is>
      </c>
      <c r="C35" t="inlineStr">
        <is>
          <t>15600 W 10 Mile, Southfield MI 48075</t>
        </is>
      </c>
      <c r="D35" t="n">
        <v>5.8</v>
      </c>
      <c r="F35" t="inlineStr">
        <is>
          <t>Stockist</t>
        </is>
      </c>
      <c r="G35" t="inlineStr">
        <is>
          <t>Germack locator</t>
        </is>
      </c>
      <c r="J35" t="inlineStr">
        <is>
          <t>~$12–$16 (est.)</t>
        </is>
      </c>
    </row>
    <row r="36">
      <c r="A36" t="n">
        <v>34</v>
      </c>
      <c r="B36" t="inlineStr">
        <is>
          <t>Providence Hospital Gift - Southfield</t>
        </is>
      </c>
      <c r="C36" t="inlineStr">
        <is>
          <t>16001 West Nine Mile, Southfield MI 48075</t>
        </is>
      </c>
      <c r="D36" t="n">
        <v>5.8</v>
      </c>
      <c r="F36" t="inlineStr">
        <is>
          <t>Stockist</t>
        </is>
      </c>
      <c r="G36" t="inlineStr">
        <is>
          <t>Germack locator</t>
        </is>
      </c>
      <c r="J36" t="inlineStr">
        <is>
          <t>~$12–$16 (est.)</t>
        </is>
      </c>
    </row>
    <row r="37">
      <c r="A37" t="n">
        <v>35</v>
      </c>
      <c r="B37" t="inlineStr">
        <is>
          <t>Lucky's Market</t>
        </is>
      </c>
      <c r="C37" t="inlineStr">
        <is>
          <t>4835 John R, Troy MI 48085</t>
        </is>
      </c>
      <c r="D37" t="n">
        <v>6</v>
      </c>
      <c r="F37" t="inlineStr">
        <is>
          <t>Stockist</t>
        </is>
      </c>
      <c r="G37" t="inlineStr">
        <is>
          <t>Germack locator</t>
        </is>
      </c>
      <c r="J37" t="inlineStr">
        <is>
          <t>~$12–$16 (est.)</t>
        </is>
      </c>
    </row>
    <row r="38">
      <c r="A38" t="n">
        <v>36</v>
      </c>
      <c r="B38" t="inlineStr">
        <is>
          <t>Nino Salvaggio</t>
        </is>
      </c>
      <c r="C38" t="inlineStr">
        <is>
          <t>6843 Rochester Rd, Troy MI 48085</t>
        </is>
      </c>
      <c r="D38" t="n">
        <v>6</v>
      </c>
      <c r="F38" t="inlineStr">
        <is>
          <t>Stockist</t>
        </is>
      </c>
      <c r="G38" t="inlineStr">
        <is>
          <t>Germack locator</t>
        </is>
      </c>
      <c r="J38" t="inlineStr">
        <is>
          <t>~$12–$16 (est.)</t>
        </is>
      </c>
    </row>
    <row r="39">
      <c r="A39" s="6" t="n">
        <v>37</v>
      </c>
      <c r="B39" s="6" t="inlineStr">
        <is>
          <t>Nino Salvaggio's</t>
        </is>
      </c>
      <c r="C39" s="6" t="inlineStr">
        <is>
          <t>6835 Rochester Rd., Troy MI 48085</t>
        </is>
      </c>
      <c r="D39" s="6" t="n">
        <v>6</v>
      </c>
      <c r="E39" s="6" t="n"/>
      <c r="F39" s="6" t="inlineStr">
        <is>
          <t>Stockist</t>
        </is>
      </c>
      <c r="G39" s="6" t="inlineStr">
        <is>
          <t>Germack locator</t>
        </is>
      </c>
      <c r="H39" s="6" t="n"/>
      <c r="I39" s="6" t="n"/>
      <c r="J39" s="6" t="inlineStr">
        <is>
          <t>~$12–$16 (est.)</t>
        </is>
      </c>
    </row>
    <row r="40">
      <c r="A40" s="6" t="n">
        <v>38</v>
      </c>
      <c r="B40" s="6" t="inlineStr">
        <is>
          <t>Nino Salvaggio's - Troy</t>
        </is>
      </c>
      <c r="C40" s="6" t="inlineStr">
        <is>
          <t>6835 Rochester Rd., Troy MI 48085</t>
        </is>
      </c>
      <c r="D40" s="6" t="n">
        <v>6</v>
      </c>
      <c r="E40" s="6" t="n"/>
      <c r="F40" s="6" t="inlineStr">
        <is>
          <t>Stockist</t>
        </is>
      </c>
      <c r="G40" s="6" t="inlineStr">
        <is>
          <t>Germack locator</t>
        </is>
      </c>
      <c r="H40" s="6" t="n"/>
      <c r="I40" s="6" t="n"/>
      <c r="J40" s="6" t="inlineStr">
        <is>
          <t>~$12–$16 (est.)</t>
        </is>
      </c>
    </row>
    <row r="41">
      <c r="A41" t="n">
        <v>39</v>
      </c>
      <c r="B41" t="inlineStr">
        <is>
          <t>7-11 Madison Heights</t>
        </is>
      </c>
      <c r="C41" t="inlineStr">
        <is>
          <t>29265 Dequindre, Madison Heights MI 48071</t>
        </is>
      </c>
      <c r="D41" t="n">
        <v>6.3</v>
      </c>
      <c r="F41" t="inlineStr">
        <is>
          <t>Stockist</t>
        </is>
      </c>
      <c r="G41" t="inlineStr">
        <is>
          <t>Germack locator</t>
        </is>
      </c>
      <c r="J41" t="inlineStr">
        <is>
          <t>~$12–$16 (est.)</t>
        </is>
      </c>
    </row>
    <row r="42">
      <c r="A42" s="6" t="n">
        <v>40</v>
      </c>
      <c r="B42" s="6" t="inlineStr">
        <is>
          <t>Hollywood Market</t>
        </is>
      </c>
      <c r="C42" s="6" t="inlineStr">
        <is>
          <t>29200 N Campbell, Madison Heights MI 48071</t>
        </is>
      </c>
      <c r="D42" s="6" t="n">
        <v>6.3</v>
      </c>
      <c r="E42" s="6" t="n"/>
      <c r="F42" s="6" t="inlineStr">
        <is>
          <t>Stockist</t>
        </is>
      </c>
      <c r="G42" s="6" t="inlineStr">
        <is>
          <t>Germack locator</t>
        </is>
      </c>
      <c r="H42" s="6" t="inlineStr">
        <is>
          <t>Also Pop Daddy</t>
        </is>
      </c>
      <c r="I42" s="6" t="n"/>
      <c r="J42" s="6" t="inlineStr">
        <is>
          <t>~$12–$16 (est.)</t>
        </is>
      </c>
    </row>
    <row r="43">
      <c r="A43" s="6" t="n">
        <v>41</v>
      </c>
      <c r="B43" s="6" t="inlineStr">
        <is>
          <t>Hollywood Market #1</t>
        </is>
      </c>
      <c r="C43" s="6" t="inlineStr">
        <is>
          <t>29200 N Campbell, Madison Heights MI 48071</t>
        </is>
      </c>
      <c r="D43" s="6" t="n">
        <v>6.3</v>
      </c>
      <c r="E43" s="6" t="n"/>
      <c r="F43" s="6" t="inlineStr">
        <is>
          <t>Stockist</t>
        </is>
      </c>
      <c r="G43" s="6" t="inlineStr">
        <is>
          <t>Germack locator</t>
        </is>
      </c>
      <c r="H43" s="6" t="inlineStr">
        <is>
          <t>Also Pop Daddy</t>
        </is>
      </c>
      <c r="I43" s="6" t="n"/>
      <c r="J43" s="6" t="inlineStr">
        <is>
          <t>~$12–$16 (est.)</t>
        </is>
      </c>
    </row>
    <row r="44">
      <c r="A44" t="n">
        <v>42</v>
      </c>
      <c r="B44" t="inlineStr">
        <is>
          <t>Universal Party Shop</t>
        </is>
      </c>
      <c r="C44" t="inlineStr">
        <is>
          <t>28619 Dequindre, Madison Hts. MI 48071</t>
        </is>
      </c>
      <c r="D44" t="n">
        <v>6.3</v>
      </c>
      <c r="F44" t="inlineStr">
        <is>
          <t>Stockist</t>
        </is>
      </c>
      <c r="G44" t="inlineStr">
        <is>
          <t>Germack locator</t>
        </is>
      </c>
      <c r="J44" t="inlineStr">
        <is>
          <t>~$12–$16 (est.)</t>
        </is>
      </c>
    </row>
    <row r="45">
      <c r="A45" t="n">
        <v>43</v>
      </c>
      <c r="B45" t="inlineStr">
        <is>
          <t>Plum @ Lear</t>
        </is>
      </c>
      <c r="C45" t="inlineStr">
        <is>
          <t>21557 Telegraph Rd Bldg 400, Southfield MI 48033</t>
        </is>
      </c>
      <c r="D45" t="n">
        <v>6.6</v>
      </c>
      <c r="F45" t="inlineStr">
        <is>
          <t>Stockist</t>
        </is>
      </c>
      <c r="G45" t="inlineStr">
        <is>
          <t>Germack locator</t>
        </is>
      </c>
      <c r="J45" t="inlineStr">
        <is>
          <t>~$12–$16 (est.)</t>
        </is>
      </c>
    </row>
    <row r="46">
      <c r="A46" t="n">
        <v>44</v>
      </c>
      <c r="B46" t="inlineStr">
        <is>
          <t>Organic Food &amp; Vitamin</t>
        </is>
      </c>
      <c r="C46" t="inlineStr">
        <is>
          <t>170 W 9 Mile Rd, Ferndale MI 48220</t>
        </is>
      </c>
      <c r="D46" t="n">
        <v>7.2</v>
      </c>
      <c r="F46" t="inlineStr">
        <is>
          <t>Stockist</t>
        </is>
      </c>
      <c r="G46" t="inlineStr">
        <is>
          <t>Germack locator</t>
        </is>
      </c>
      <c r="J46" t="inlineStr">
        <is>
          <t>~$12–$16 (est.)</t>
        </is>
      </c>
    </row>
    <row r="47">
      <c r="A47" t="n">
        <v>45</v>
      </c>
      <c r="B47" t="inlineStr">
        <is>
          <t>Western Market - Ferndale</t>
        </is>
      </c>
      <c r="C47" t="inlineStr">
        <is>
          <t>447 W. 9 Mile Rd., Ferndale MI 48220</t>
        </is>
      </c>
      <c r="D47" t="n">
        <v>7.2</v>
      </c>
      <c r="F47" t="inlineStr">
        <is>
          <t>Stockist</t>
        </is>
      </c>
      <c r="G47" t="inlineStr">
        <is>
          <t>Germack locator</t>
        </is>
      </c>
      <c r="H47" t="inlineStr">
        <is>
          <t>Also Pop Daddy</t>
        </is>
      </c>
      <c r="J47" t="inlineStr">
        <is>
          <t>~$12–$16 (est.)</t>
        </is>
      </c>
    </row>
    <row r="48">
      <c r="A48" t="n">
        <v>46</v>
      </c>
      <c r="B48" t="inlineStr">
        <is>
          <t>Antonio's Market</t>
        </is>
      </c>
      <c r="C48" t="inlineStr">
        <is>
          <t>38900 Ryan, Sterling Heights MI 48310</t>
        </is>
      </c>
      <c r="D48" t="n">
        <v>7.3</v>
      </c>
      <c r="F48" t="inlineStr">
        <is>
          <t>Stockist</t>
        </is>
      </c>
      <c r="G48" t="inlineStr">
        <is>
          <t>Germack locator</t>
        </is>
      </c>
      <c r="J48" t="inlineStr">
        <is>
          <t>~$12–$16 (est.)</t>
        </is>
      </c>
    </row>
    <row r="49">
      <c r="A49" t="n">
        <v>47</v>
      </c>
      <c r="B49" t="inlineStr">
        <is>
          <t>International Foods</t>
        </is>
      </c>
      <c r="C49" t="inlineStr">
        <is>
          <t>38964 Dequindre, Sterling Heights MI 48310</t>
        </is>
      </c>
      <c r="D49" t="n">
        <v>7.3</v>
      </c>
      <c r="F49" t="inlineStr">
        <is>
          <t>Stockist</t>
        </is>
      </c>
      <c r="G49" t="inlineStr">
        <is>
          <t>Germack locator</t>
        </is>
      </c>
      <c r="J49" t="inlineStr">
        <is>
          <t>~$12–$16 (est.)</t>
        </is>
      </c>
    </row>
    <row r="50">
      <c r="A50" t="n">
        <v>48</v>
      </c>
      <c r="B50" t="inlineStr">
        <is>
          <t>Rusty Keg/BP Gas</t>
        </is>
      </c>
      <c r="C50" t="inlineStr">
        <is>
          <t>3951 Metro Parkway, Sterling Heights MI 48310</t>
        </is>
      </c>
      <c r="D50" t="n">
        <v>7.3</v>
      </c>
      <c r="F50" t="inlineStr">
        <is>
          <t>Stockist</t>
        </is>
      </c>
      <c r="G50" t="inlineStr">
        <is>
          <t>Germack locator</t>
        </is>
      </c>
      <c r="J50" t="inlineStr">
        <is>
          <t>~$12–$16 (est.)</t>
        </is>
      </c>
    </row>
    <row r="51">
      <c r="A51" t="n">
        <v>49</v>
      </c>
      <c r="B51" t="inlineStr">
        <is>
          <t>Johnny Pomodoro's Fresh Market</t>
        </is>
      </c>
      <c r="C51" t="inlineStr">
        <is>
          <t>32906 Middlebelt, Farmington Hills MI 48334</t>
        </is>
      </c>
      <c r="D51" t="n">
        <v>7.5</v>
      </c>
      <c r="F51" t="inlineStr">
        <is>
          <t>Stockist</t>
        </is>
      </c>
      <c r="G51" t="inlineStr">
        <is>
          <t>Germack locator</t>
        </is>
      </c>
      <c r="J51" t="inlineStr">
        <is>
          <t>~$12–$16 (est.)</t>
        </is>
      </c>
    </row>
    <row r="52">
      <c r="A52" t="n">
        <v>50</v>
      </c>
      <c r="B52" t="inlineStr">
        <is>
          <t>Kenny Wine Shop</t>
        </is>
      </c>
      <c r="C52" t="inlineStr">
        <is>
          <t>30094 Dequindre, Warren MI 48092</t>
        </is>
      </c>
      <c r="D52" t="n">
        <v>7.8</v>
      </c>
      <c r="F52" t="inlineStr">
        <is>
          <t>Stockist</t>
        </is>
      </c>
      <c r="G52" t="inlineStr">
        <is>
          <t>Germack locator</t>
        </is>
      </c>
      <c r="J52" t="inlineStr">
        <is>
          <t>~$12–$16 (est.)</t>
        </is>
      </c>
    </row>
    <row r="53"/>
    <row r="54">
      <c r="A54" s="3" t="inlineStr">
        <is>
          <t>PRICE COMPARISON (cheapest first, from public listings 10/26/2026; shipping and tax not included)</t>
        </is>
      </c>
    </row>
    <row r="55">
      <c r="B55" s="2" t="inlineStr">
        <is>
          <t>Option</t>
        </is>
      </c>
      <c r="C55" s="2" t="inlineStr">
        <is>
          <t>Pack size</t>
        </is>
      </c>
      <c r="D55" s="2" t="inlineStr">
        <is>
          <t>Price</t>
        </is>
      </c>
      <c r="E55" s="2" t="inlineStr">
        <is>
          <t>Per unit</t>
        </is>
      </c>
      <c r="F55" s="2" t="inlineStr">
        <is>
          <t>Notes</t>
        </is>
      </c>
      <c r="G55" s="2" t="inlineStr">
        <is>
          <t>Link</t>
        </is>
      </c>
    </row>
    <row r="56">
      <c r="B56" s="4" t="inlineStr">
        <is>
          <t>Germack online / Eastern Market store</t>
        </is>
      </c>
      <c r="C56" s="4" t="inlineStr">
        <is>
          <t>8 oz bag</t>
        </is>
      </c>
      <c r="D56" s="4" t="inlineStr">
        <is>
          <t>$14.24</t>
        </is>
      </c>
      <c r="E56" s="4" t="inlineStr">
        <is>
          <t>$14.24/bag</t>
        </is>
      </c>
      <c r="F56" s="4" t="inlineStr">
        <is>
          <t>Cheapest found. A $8.99 listing exists but is marked unavailable. Call 313-393-2000 about case pricing.</t>
        </is>
      </c>
      <c r="G56" s="4" t="inlineStr">
        <is>
          <t>https://www.germack.com/shop,dried-fruit---michigan-cherries---8oz-805455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40" customWidth="1" min="3" max="3"/>
    <col width="10" customWidth="1" min="4" max="4"/>
    <col width="16" customWidth="1" min="5" max="5"/>
    <col width="16" customWidth="1" min="6" max="6"/>
    <col width="16" customWidth="1" min="7" max="7"/>
    <col width="52" customWidth="1" min="8" max="8"/>
    <col width="40" customWidth="1" min="9" max="9"/>
    <col width="30" customWidth="1" min="10" max="10"/>
  </cols>
  <sheetData>
    <row r="1" ht="60" customHeight="1">
      <c r="A1" s="1" t="inlineStr">
        <is>
          <t>Mackinac Island Fudge, 8 oz slab. No Birmingham retailer is confirmed. Island makers sell half-pound (≈8 oz) slices and ship.</t>
        </is>
      </c>
    </row>
    <row r="2">
      <c r="A2" s="2" t="inlineStr">
        <is>
          <t>#</t>
        </is>
      </c>
      <c r="B2" s="2" t="inlineStr">
        <is>
          <t>Place</t>
        </is>
      </c>
      <c r="C2" s="2" t="inlineStr">
        <is>
          <t>Address</t>
        </is>
      </c>
      <c r="D2" s="2" t="inlineStr">
        <is>
          <t>Miles from Birmingham</t>
        </is>
      </c>
      <c r="E2" s="2" t="inlineStr">
        <is>
          <t>Phone</t>
        </is>
      </c>
      <c r="F2" s="2" t="inlineStr">
        <is>
          <t>Type</t>
        </is>
      </c>
      <c r="G2" s="2" t="inlineStr">
        <is>
          <t>Confidence</t>
        </is>
      </c>
      <c r="H2" s="2" t="inlineStr">
        <is>
          <t>Notes</t>
        </is>
      </c>
      <c r="I2" s="2" t="inlineStr">
        <is>
          <t>Link</t>
        </is>
      </c>
      <c r="J2" s="2" t="inlineStr">
        <is>
          <t>Est. price</t>
        </is>
      </c>
    </row>
    <row r="3">
      <c r="A3" t="n">
        <v>1</v>
      </c>
      <c r="B3" t="inlineStr">
        <is>
          <t>“Original Murdicks Fudge” address (LEAD)</t>
        </is>
      </c>
      <c r="C3" t="inlineStr">
        <is>
          <t>1540 W Lincoln, Birmingham 48009</t>
        </is>
      </c>
      <c r="D3" t="n">
        <v>0.2</v>
      </c>
      <c r="E3" t="inlineStr">
        <is>
          <t>(906) 643-9616</t>
        </is>
      </c>
      <c r="F3" t="inlineStr">
        <is>
          <t>Lead</t>
        </is>
      </c>
      <c r="G3" t="inlineStr">
        <is>
          <t>Unverified</t>
        </is>
      </c>
      <c r="H3" t="inlineStr">
        <is>
          <t>Listed under Murdick’s name on Germack’s stockist list. No storefront found; may be an office. Ask Murdick’s about local pickup or bulk.</t>
        </is>
      </c>
      <c r="I3" t="inlineStr">
        <is>
          <t>https://www.originalmurdicksfudge.com/about-us/</t>
        </is>
      </c>
      <c r="J3" t="inlineStr">
        <is>
          <t>Ask</t>
        </is>
      </c>
    </row>
    <row r="4">
      <c r="A4" t="n">
        <v>2</v>
      </c>
      <c r="B4" t="inlineStr">
        <is>
          <t>Original Murdick’s Fudge</t>
        </is>
      </c>
      <c r="C4" t="inlineStr">
        <is>
          <t>Mackinac Island / Mackinaw City / St. Ignace</t>
        </is>
      </c>
      <c r="E4" t="inlineStr">
        <is>
          <t>(906) 847-3530 · business (906) 643-9616</t>
        </is>
      </c>
      <c r="F4" t="inlineStr">
        <is>
          <t>Ship</t>
        </is>
      </c>
      <c r="G4" t="inlineStr">
        <is>
          <t>Confirmed</t>
        </is>
      </c>
      <c r="H4" t="inlineStr">
        <is>
          <t>Half-pound slices. Single Slice Box $15.95, Three Slice $41.95. Ships US via FedEx. Corporate and group sales.</t>
        </is>
      </c>
      <c r="I4" t="inlineStr">
        <is>
          <t>https://www.originalmurdicksfudge.com</t>
        </is>
      </c>
      <c r="J4" t="inlineStr">
        <is>
          <t>$13.98–$15.95/slice</t>
        </is>
      </c>
    </row>
    <row r="5">
      <c r="A5" t="n">
        <v>3</v>
      </c>
      <c r="B5" t="inlineStr">
        <is>
          <t>Ryba’s Mackinac Island Fudge</t>
        </is>
      </c>
      <c r="C5" t="inlineStr">
        <is>
          <t>Mackinac Island</t>
        </is>
      </c>
      <c r="E5" t="inlineStr">
        <is>
          <t>800-447-9227 · info@ryba.com</t>
        </is>
      </c>
      <c r="F5" t="inlineStr">
        <is>
          <t>Ship</t>
        </is>
      </c>
      <c r="G5" t="inlineStr">
        <is>
          <t>Confirmed</t>
        </is>
      </c>
      <c r="H5" t="inlineStr">
        <is>
          <t>Shipping restarts the week of 11/2 after the off-season move. Free shipping over $99. Corporate gifting.</t>
        </is>
      </c>
      <c r="I5" t="inlineStr">
        <is>
          <t>https://ryba.com</t>
        </is>
      </c>
      <c r="J5" t="inlineStr">
        <is>
          <t>≈ $11.98/slice</t>
        </is>
      </c>
    </row>
    <row r="6">
      <c r="A6" t="n">
        <v>4</v>
      </c>
      <c r="B6" t="inlineStr">
        <is>
          <t>Joann’s Fudge</t>
        </is>
      </c>
      <c r="C6" t="inlineStr">
        <is>
          <t>Mackinac Island; 303 E Central, Mackinaw City</t>
        </is>
      </c>
      <c r="E6" t="inlineStr">
        <is>
          <t>906-847-6357</t>
        </is>
      </c>
      <c r="F6" t="inlineStr">
        <is>
          <t>Ship</t>
        </is>
      </c>
      <c r="G6" t="inlineStr">
        <is>
          <t>Confirmed</t>
        </is>
      </c>
      <c r="H6" t="inlineStr">
        <is>
          <t>One Slice Box $12.95; corporate gifts.</t>
        </is>
      </c>
      <c r="I6" t="inlineStr">
        <is>
          <t>https://www.joannsfudge.com</t>
        </is>
      </c>
      <c r="J6" t="inlineStr">
        <is>
          <t>$9.39–$12.95/slice</t>
        </is>
      </c>
    </row>
    <row r="7">
      <c r="A7" t="n">
        <v>5</v>
      </c>
      <c r="B7" t="inlineStr">
        <is>
          <t>Original Mackinac Island Fudge Co.</t>
        </is>
      </c>
      <c r="C7" t="inlineStr">
        <is>
          <t>Online (Michigan-Made)</t>
        </is>
      </c>
      <c r="E7" t="inlineStr">
        <is>
          <t>via contact page</t>
        </is>
      </c>
      <c r="F7" t="inlineStr">
        <is>
          <t>Wholesale</t>
        </is>
      </c>
      <c r="G7" t="inlineStr">
        <is>
          <t>Reported</t>
        </is>
      </c>
      <c r="H7" t="inlineStr">
        <is>
          <t>Says it offers wholesale; use the request form.</t>
        </is>
      </c>
      <c r="I7" t="inlineStr">
        <is>
          <t>https://michigan-made.com/shop/wholesale/</t>
        </is>
      </c>
      <c r="J7" t="inlineStr">
        <is>
          <t>Wholesale (ask)</t>
        </is>
      </c>
    </row>
    <row r="8">
      <c r="A8" t="n">
        <v>6</v>
      </c>
      <c r="B8" t="inlineStr">
        <is>
          <t>Devon’s Mackinac Island Fudge</t>
        </is>
      </c>
      <c r="C8" t="inlineStr">
        <is>
          <t>St. Ignace</t>
        </is>
      </c>
      <c r="F8" t="inlineStr">
        <is>
          <t>Wholesale (Faire)</t>
        </is>
      </c>
      <c r="G8" t="inlineStr">
        <is>
          <t>Listed</t>
        </is>
      </c>
      <c r="H8" t="inlineStr">
        <is>
          <t>Mostly 5.5 oz; $144 minimum.</t>
        </is>
      </c>
      <c r="I8" t="inlineStr">
        <is>
          <t>https://www.faire.com/brand/b_6x2vvtmhv4</t>
        </is>
      </c>
      <c r="J8" t="inlineStr">
        <is>
          <t>~$12.95 per 5.5 oz</t>
        </is>
      </c>
    </row>
    <row r="9">
      <c r="A9" t="n">
        <v>7</v>
      </c>
      <c r="B9" t="inlineStr">
        <is>
          <t>Hefling’s Amish Farm Market</t>
        </is>
      </c>
      <c r="C9" t="inlineStr">
        <is>
          <t>Clinton Township</t>
        </is>
      </c>
      <c r="F9" t="inlineStr">
        <is>
          <t>Retail</t>
        </is>
      </c>
      <c r="G9" t="inlineStr">
        <is>
          <t>Unverified</t>
        </is>
      </c>
      <c r="H9" t="inlineStr">
        <is>
          <t>A Yelp review says it carries Mackinac fudge.</t>
        </is>
      </c>
      <c r="J9" t="inlineStr">
        <is>
          <t>~$10–$16 (est.)</t>
        </is>
      </c>
    </row>
    <row r="10"/>
    <row r="11">
      <c r="A11" s="3" t="inlineStr">
        <is>
          <t>PRICE COMPARISON (cheapest first, from public listings 10/26/2026; shipping and tax not included)</t>
        </is>
      </c>
    </row>
    <row r="12">
      <c r="B12" s="2" t="inlineStr">
        <is>
          <t>Option</t>
        </is>
      </c>
      <c r="C12" s="2" t="inlineStr">
        <is>
          <t>Pack size</t>
        </is>
      </c>
      <c r="D12" s="2" t="inlineStr">
        <is>
          <t>Price</t>
        </is>
      </c>
      <c r="E12" s="2" t="inlineStr">
        <is>
          <t>Per unit</t>
        </is>
      </c>
      <c r="F12" s="2" t="inlineStr">
        <is>
          <t>Notes</t>
        </is>
      </c>
      <c r="G12" s="2" t="inlineStr">
        <is>
          <t>Link</t>
        </is>
      </c>
    </row>
    <row r="13">
      <c r="B13" s="4" t="inlineStr">
        <is>
          <t>Joann’s Five Slice Box</t>
        </is>
      </c>
      <c r="C13" s="4" t="inlineStr">
        <is>
          <t>5 slices (½ lb each)</t>
        </is>
      </c>
      <c r="D13" s="4" t="inlineStr">
        <is>
          <t>$46.95</t>
        </is>
      </c>
      <c r="E13" s="4" t="inlineStr">
        <is>
          <t>≈ $9.39/slice</t>
        </is>
      </c>
      <c r="F13" s="4" t="inlineStr">
        <is>
          <t>CHEAPEST + shipping</t>
        </is>
      </c>
      <c r="G13" s="4" t="inlineStr">
        <is>
          <t>https://www.joannsfudge.com</t>
        </is>
      </c>
    </row>
    <row r="14">
      <c r="B14" t="inlineStr">
        <is>
          <t>Ryba’s Fudge Trio</t>
        </is>
      </c>
      <c r="C14" t="inlineStr">
        <is>
          <t>3 slices</t>
        </is>
      </c>
      <c r="D14" t="inlineStr">
        <is>
          <t>$35.95</t>
        </is>
      </c>
      <c r="E14" t="inlineStr">
        <is>
          <t>≈ $11.98/slice</t>
        </is>
      </c>
      <c r="F14" t="inlineStr">
        <is>
          <t>Slice weight not stated; free shipping over $99</t>
        </is>
      </c>
      <c r="G14" t="inlineStr">
        <is>
          <t>https://ryba.com</t>
        </is>
      </c>
    </row>
    <row r="15">
      <c r="B15" t="inlineStr">
        <is>
          <t>Joann’s One Slice Box</t>
        </is>
      </c>
      <c r="C15" t="inlineStr">
        <is>
          <t>1 slice</t>
        </is>
      </c>
      <c r="D15" t="inlineStr">
        <is>
          <t>$12.95</t>
        </is>
      </c>
      <c r="E15" t="inlineStr">
        <is>
          <t>$12.95/slice</t>
        </is>
      </c>
      <c r="G15" t="inlineStr">
        <is>
          <t>https://www.joannsfudge.com</t>
        </is>
      </c>
    </row>
    <row r="16">
      <c r="B16" t="inlineStr">
        <is>
          <t>Murdick’s Three Slice Box</t>
        </is>
      </c>
      <c r="C16" t="inlineStr">
        <is>
          <t>3 × ½ lb</t>
        </is>
      </c>
      <c r="D16" t="inlineStr">
        <is>
          <t>$41.95</t>
        </is>
      </c>
      <c r="E16" t="inlineStr">
        <is>
          <t>≈ $13.98/slice</t>
        </is>
      </c>
      <c r="G16" t="inlineStr">
        <is>
          <t>https://www.originalmurdicksfudge.com</t>
        </is>
      </c>
    </row>
    <row r="17">
      <c r="B17" t="inlineStr">
        <is>
          <t>Murdick’s Single Slice Box</t>
        </is>
      </c>
      <c r="C17" t="inlineStr">
        <is>
          <t>1 × ½ lb</t>
        </is>
      </c>
      <c r="D17" t="inlineStr">
        <is>
          <t>$15.95</t>
        </is>
      </c>
      <c r="E17" t="inlineStr">
        <is>
          <t>$15.95/slice</t>
        </is>
      </c>
      <c r="F17" t="inlineStr">
        <is>
          <t>Most expensive</t>
        </is>
      </c>
      <c r="G17" t="inlineStr">
        <is>
          <t>https://www.originalmurdicksfudge.com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40" customWidth="1" min="3" max="3"/>
    <col width="10" customWidth="1" min="4" max="4"/>
    <col width="16" customWidth="1" min="5" max="5"/>
    <col width="16" customWidth="1" min="6" max="6"/>
    <col width="16" customWidth="1" min="7" max="7"/>
    <col width="52" customWidth="1" min="8" max="8"/>
    <col width="40" customWidth="1" min="9" max="9"/>
    <col width="30" customWidth="1" min="10" max="10"/>
  </cols>
  <sheetData>
    <row r="1" ht="60" customHeight="1">
      <c r="A1" s="1" t="inlineStr">
        <is>
          <t>Koeze Cream-Nut Peanut Butter, 17 oz. No Birmingham store is confirmed. Kroger-family stores list the UPC (0007115730341), so check kroger.com with a nearby store selected.</t>
        </is>
      </c>
    </row>
    <row r="2">
      <c r="A2" s="2" t="inlineStr">
        <is>
          <t>#</t>
        </is>
      </c>
      <c r="B2" s="2" t="inlineStr">
        <is>
          <t>Place</t>
        </is>
      </c>
      <c r="C2" s="2" t="inlineStr">
        <is>
          <t>Address</t>
        </is>
      </c>
      <c r="D2" s="2" t="inlineStr">
        <is>
          <t>Miles from Birmingham</t>
        </is>
      </c>
      <c r="E2" s="2" t="inlineStr">
        <is>
          <t>Phone</t>
        </is>
      </c>
      <c r="F2" s="2" t="inlineStr">
        <is>
          <t>Type</t>
        </is>
      </c>
      <c r="G2" s="2" t="inlineStr">
        <is>
          <t>Confidence</t>
        </is>
      </c>
      <c r="H2" s="2" t="inlineStr">
        <is>
          <t>Notes</t>
        </is>
      </c>
      <c r="I2" s="2" t="inlineStr">
        <is>
          <t>Link</t>
        </is>
      </c>
      <c r="J2" s="2" t="inlineStr">
        <is>
          <t>Est. price</t>
        </is>
      </c>
    </row>
    <row r="3">
      <c r="A3" s="6" t="n">
        <v>1</v>
      </c>
      <c r="B3" s="6" t="inlineStr">
        <is>
          <t>Kroger</t>
        </is>
      </c>
      <c r="C3" s="6" t="inlineStr">
        <is>
          <t>685 E Maple Rd, Birmingham</t>
        </is>
      </c>
      <c r="D3" s="6" t="n">
        <v>0.2</v>
      </c>
      <c r="E3" s="6" t="n"/>
      <c r="F3" s="6" t="inlineStr">
        <is>
          <t>Grocery (check)</t>
        </is>
      </c>
      <c r="G3" s="6" t="inlineStr">
        <is>
          <t>Possible</t>
        </is>
      </c>
      <c r="H3" s="6" t="inlineStr">
        <is>
          <t>Search “Cream-Nut” on kroger.com with this store selected.</t>
        </is>
      </c>
      <c r="I3" s="6" t="n"/>
      <c r="J3" s="6" t="inlineStr">
        <is>
          <t>~$7–$8 (est.)</t>
        </is>
      </c>
    </row>
    <row r="4">
      <c r="A4" s="6" t="n">
        <v>2</v>
      </c>
      <c r="B4" s="6" t="inlineStr">
        <is>
          <t>Kroger</t>
        </is>
      </c>
      <c r="C4" s="6" t="inlineStr">
        <is>
          <t>1237 Coolidge Hwy, Troy</t>
        </is>
      </c>
      <c r="D4" s="6" t="n">
        <v>1.9</v>
      </c>
      <c r="E4" s="6" t="n"/>
      <c r="F4" s="6" t="inlineStr">
        <is>
          <t>Grocery (check)</t>
        </is>
      </c>
      <c r="G4" s="6" t="inlineStr">
        <is>
          <t>Possible</t>
        </is>
      </c>
      <c r="H4" s="6" t="inlineStr">
        <is>
          <t>Same check.</t>
        </is>
      </c>
      <c r="I4" s="6" t="n"/>
      <c r="J4" s="6" t="inlineStr">
        <is>
          <t>~$7–$8 (est.)</t>
        </is>
      </c>
    </row>
    <row r="5">
      <c r="A5" t="n">
        <v>3</v>
      </c>
      <c r="B5" t="inlineStr">
        <is>
          <t>Kroger</t>
        </is>
      </c>
      <c r="C5" t="inlineStr">
        <is>
          <t>3600 W Maple Rd, Bloomfield Hills</t>
        </is>
      </c>
      <c r="D5" t="n">
        <v>3.5</v>
      </c>
      <c r="F5" t="inlineStr">
        <is>
          <t>Grocery (check)</t>
        </is>
      </c>
      <c r="G5" t="inlineStr">
        <is>
          <t>Possible</t>
        </is>
      </c>
      <c r="H5" t="inlineStr">
        <is>
          <t>Same check.</t>
        </is>
      </c>
      <c r="J5" t="inlineStr">
        <is>
          <t>~$7–$8 (est.)</t>
        </is>
      </c>
    </row>
    <row r="6">
      <c r="A6" t="n">
        <v>4</v>
      </c>
      <c r="B6" t="inlineStr">
        <is>
          <t>Koeze direct – 6-jar case</t>
        </is>
      </c>
      <c r="C6" t="inlineStr">
        <is>
          <t>Ships from Grand Rapids</t>
        </is>
      </c>
      <c r="E6" t="inlineStr">
        <is>
          <t>(616) 724-2620</t>
        </is>
      </c>
      <c r="F6" t="inlineStr">
        <is>
          <t>Ship</t>
        </is>
      </c>
      <c r="G6" t="inlineStr">
        <is>
          <t>Confirmed</t>
        </is>
      </c>
      <c r="H6" t="inlineStr">
        <is>
          <t>Six 17 oz jars, $41.95 sale ($47.95 regular). Can ship to multiple addresses.</t>
        </is>
      </c>
      <c r="I6" t="inlineStr">
        <is>
          <t>https://koeze.com/cream-nut-smooth-case-small</t>
        </is>
      </c>
      <c r="J6" t="inlineStr">
        <is>
          <t>≈ $6.99/jar</t>
        </is>
      </c>
    </row>
    <row r="7">
      <c r="A7" t="n">
        <v>5</v>
      </c>
      <c r="B7" t="inlineStr">
        <is>
          <t>Koeze business / bulk orders</t>
        </is>
      </c>
      <c r="C7" t="inlineStr">
        <is>
          <t>Online</t>
        </is>
      </c>
      <c r="F7" t="inlineStr">
        <is>
          <t>Wholesale</t>
        </is>
      </c>
      <c r="G7" t="inlineStr">
        <is>
          <t>Confirmed</t>
        </is>
      </c>
      <c r="H7" t="inlineStr">
        <is>
          <t>Corporate gifts page, or contact for large orders.</t>
        </is>
      </c>
      <c r="I7" t="inlineStr">
        <is>
          <t>https://koeze.com/gifts/corporate</t>
        </is>
      </c>
      <c r="J7" t="inlineStr">
        <is>
          <t>Wholesale (ask)</t>
        </is>
      </c>
    </row>
    <row r="8">
      <c r="A8" t="n">
        <v>6</v>
      </c>
      <c r="B8" t="inlineStr">
        <is>
          <t>Zingerman’s Deli</t>
        </is>
      </c>
      <c r="C8" t="inlineStr">
        <is>
          <t>422 Detroit St, Ann Arbor</t>
        </is>
      </c>
      <c r="E8" t="inlineStr">
        <is>
          <t>(734) 663-3354</t>
        </is>
      </c>
      <c r="F8" t="inlineStr">
        <is>
          <t>Retail + mail order</t>
        </is>
      </c>
      <c r="G8" t="inlineStr">
        <is>
          <t>Confirmed</t>
        </is>
      </c>
      <c r="H8" t="inlineStr">
        <is>
          <t>Carries Cream-Nut.</t>
        </is>
      </c>
      <c r="I8" t="inlineStr">
        <is>
          <t>https://www.zingermans.com/Product/koeze-cream-nut-peanut-butter/P-BUT</t>
        </is>
      </c>
      <c r="J8" t="inlineStr">
        <is>
          <t>~$8–$10 (est.)</t>
        </is>
      </c>
    </row>
    <row r="9">
      <c r="A9" t="n">
        <v>7</v>
      </c>
      <c r="B9" t="inlineStr">
        <is>
          <t>Koeze stores</t>
        </is>
      </c>
      <c r="C9" t="inlineStr">
        <is>
          <t>2577 Burlingame Ave SW / 1971 East Beltline, Grand Rapids</t>
        </is>
      </c>
      <c r="E9" t="inlineStr">
        <is>
          <t>(616) 724-2620 / (616) 364-8214</t>
        </is>
      </c>
      <c r="F9" t="inlineStr">
        <is>
          <t>Brand store</t>
        </is>
      </c>
      <c r="G9" t="inlineStr">
        <is>
          <t>Confirmed</t>
        </is>
      </c>
      <c r="J9" t="inlineStr">
        <is>
          <t>~$7 (est.)</t>
        </is>
      </c>
    </row>
    <row r="10"/>
    <row r="11">
      <c r="A11" s="3" t="inlineStr">
        <is>
          <t>PRICE COMPARISON (cheapest first, from public listings 10/26/2026; shipping and tax not included)</t>
        </is>
      </c>
    </row>
    <row r="12">
      <c r="B12" s="2" t="inlineStr">
        <is>
          <t>Option</t>
        </is>
      </c>
      <c r="C12" s="2" t="inlineStr">
        <is>
          <t>Pack size</t>
        </is>
      </c>
      <c r="D12" s="2" t="inlineStr">
        <is>
          <t>Price</t>
        </is>
      </c>
      <c r="E12" s="2" t="inlineStr">
        <is>
          <t>Per unit</t>
        </is>
      </c>
      <c r="F12" s="2" t="inlineStr">
        <is>
          <t>Notes</t>
        </is>
      </c>
      <c r="G12" s="2" t="inlineStr">
        <is>
          <t>Link</t>
        </is>
      </c>
    </row>
    <row r="13">
      <c r="B13" s="4" t="inlineStr">
        <is>
          <t>Koeze direct 6-jar case (sale)</t>
        </is>
      </c>
      <c r="C13" s="4" t="inlineStr">
        <is>
          <t>6 × 17 oz</t>
        </is>
      </c>
      <c r="D13" s="4" t="inlineStr">
        <is>
          <t>$41.95</t>
        </is>
      </c>
      <c r="E13" s="4" t="inlineStr">
        <is>
          <t>≈ $6.99/jar</t>
        </is>
      </c>
      <c r="F13" s="4" t="inlineStr">
        <is>
          <t>CHEAPEST + shipping</t>
        </is>
      </c>
      <c r="G13" s="4" t="inlineStr">
        <is>
          <t>https://koeze.com/cream-nut-smooth-case-small</t>
        </is>
      </c>
    </row>
    <row r="14">
      <c r="B14" t="inlineStr">
        <is>
          <t>ShopRite (online listing)</t>
        </is>
      </c>
      <c r="C14" t="inlineStr">
        <is>
          <t>17 oz</t>
        </is>
      </c>
      <c r="D14" t="inlineStr">
        <is>
          <t>$7.39–$7.49</t>
        </is>
      </c>
      <c r="E14" t="inlineStr">
        <is>
          <t>$7.39–$7.49/jar</t>
        </is>
      </c>
      <c r="F14" t="inlineStr">
        <is>
          <t>Out of state; Michigan grocery price likely similar</t>
        </is>
      </c>
      <c r="G14" t="inlineStr">
        <is>
          <t>https://www.shoprite.com/sm/pickup/rsid/584/product/creamnut-smooth-natural-peanut-butter-17-oz-id-00071157303412</t>
        </is>
      </c>
    </row>
    <row r="15">
      <c r="B15" t="inlineStr">
        <is>
          <t>Here Here Market</t>
        </is>
      </c>
      <c r="C15" t="inlineStr">
        <is>
          <t>17 oz</t>
        </is>
      </c>
      <c r="D15" t="inlineStr">
        <is>
          <t>$7.49</t>
        </is>
      </c>
      <c r="E15" t="inlineStr">
        <is>
          <t>$7.49/jar</t>
        </is>
      </c>
      <c r="G15" t="inlineStr">
        <is>
          <t>https://hereheremarket.com/products/cream-nut-natural-peanut-butter-smooth</t>
        </is>
      </c>
    </row>
    <row r="16">
      <c r="B16" t="inlineStr">
        <is>
          <t>Harney &amp; Sons</t>
        </is>
      </c>
      <c r="C16" t="inlineStr">
        <is>
          <t>17 oz</t>
        </is>
      </c>
      <c r="D16" t="inlineStr">
        <is>
          <t>$7.95</t>
        </is>
      </c>
      <c r="E16" t="inlineStr">
        <is>
          <t>$7.95/jar</t>
        </is>
      </c>
      <c r="F16" t="inlineStr">
        <is>
          <t>Free US shipping</t>
        </is>
      </c>
      <c r="G16" t="inlineStr">
        <is>
          <t>https://www.harney.com/en-gb/products/koeze-cream-nut-peanut-butter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40" customWidth="1" min="3" max="3"/>
    <col width="10" customWidth="1" min="4" max="4"/>
    <col width="16" customWidth="1" min="5" max="5"/>
    <col width="16" customWidth="1" min="6" max="6"/>
    <col width="16" customWidth="1" min="7" max="7"/>
    <col width="52" customWidth="1" min="8" max="8"/>
    <col width="40" customWidth="1" min="9" max="9"/>
    <col width="30" customWidth="1" min="10" max="10"/>
  </cols>
  <sheetData>
    <row r="1" ht="60" customHeight="1">
      <c r="A1" s="1" t="inlineStr">
        <is>
          <t>Germack In-Shell Peanuts, 9 oz. Same stores as tab 1 Cherries (every Germack stockist there can order both). Confirm the 9 oz bag when you call.</t>
        </is>
      </c>
    </row>
    <row r="2">
      <c r="A2" s="2" t="inlineStr">
        <is>
          <t>#</t>
        </is>
      </c>
      <c r="B2" s="2" t="inlineStr">
        <is>
          <t>Place</t>
        </is>
      </c>
      <c r="C2" s="2" t="inlineStr">
        <is>
          <t>Address</t>
        </is>
      </c>
      <c r="D2" s="2" t="inlineStr">
        <is>
          <t>Miles from Birmingham</t>
        </is>
      </c>
      <c r="E2" s="2" t="inlineStr">
        <is>
          <t>Phone</t>
        </is>
      </c>
      <c r="F2" s="2" t="inlineStr">
        <is>
          <t>Type</t>
        </is>
      </c>
      <c r="G2" s="2" t="inlineStr">
        <is>
          <t>Confidence</t>
        </is>
      </c>
      <c r="H2" s="2" t="inlineStr">
        <is>
          <t>Notes</t>
        </is>
      </c>
      <c r="I2" s="2" t="inlineStr">
        <is>
          <t>Link</t>
        </is>
      </c>
      <c r="J2" s="2" t="inlineStr">
        <is>
          <t>Est. price</t>
        </is>
      </c>
    </row>
    <row r="3">
      <c r="A3" t="n">
        <v>1</v>
      </c>
      <c r="B3" t="inlineStr">
        <is>
          <t>Germack Pistachio Co. – Retail Nut Store</t>
        </is>
      </c>
      <c r="C3" t="inlineStr">
        <is>
          <t>2509 Russell St, Detroit 48207</t>
        </is>
      </c>
      <c r="D3" t="n">
        <v>16.6</v>
      </c>
      <c r="E3" t="inlineStr">
        <is>
          <t>313-784-9484</t>
        </is>
      </c>
      <c r="F3" t="inlineStr">
        <is>
          <t>Brand store</t>
        </is>
      </c>
      <c r="G3" t="inlineStr">
        <is>
          <t>Confirmed</t>
        </is>
      </c>
      <c r="H3" t="inlineStr">
        <is>
          <t>Mon–Sat 8–3, Eastern Market. Surest source of the exact bag.</t>
        </is>
      </c>
      <c r="I3" t="inlineStr">
        <is>
          <t>https://www.germack.com</t>
        </is>
      </c>
      <c r="J3" t="inlineStr">
        <is>
          <t>$4.25 (7 oz)</t>
        </is>
      </c>
    </row>
    <row r="4">
      <c r="A4" t="n">
        <v>2</v>
      </c>
      <c r="B4" t="inlineStr">
        <is>
          <t>Germack Factory – Wholesale</t>
        </is>
      </c>
      <c r="C4" t="inlineStr">
        <is>
          <t>2140 Wilkins St, Detroit 48207</t>
        </is>
      </c>
      <c r="D4" t="n">
        <v>16.6</v>
      </c>
      <c r="E4" t="inlineStr">
        <is>
          <t>313-393-2000</t>
        </is>
      </c>
      <c r="F4" t="inlineStr">
        <is>
          <t>Wholesale</t>
        </is>
      </c>
      <c r="G4" t="inlineStr">
        <is>
          <t>Confirmed</t>
        </is>
      </c>
      <c r="H4" t="inlineStr">
        <is>
          <t>Call for bulk/case pricing.</t>
        </is>
      </c>
      <c r="I4" t="inlineStr">
        <is>
          <t>https://www.germack.com</t>
        </is>
      </c>
      <c r="J4" t="inlineStr">
        <is>
          <t>$24.99 / 10 lb ≈ $1.40 per 9 oz</t>
        </is>
      </c>
    </row>
    <row r="5">
      <c r="A5" s="6" t="n">
        <v>3</v>
      </c>
      <c r="B5" s="6" t="inlineStr">
        <is>
          <t>Beverage Warehouse</t>
        </is>
      </c>
      <c r="C5" s="6" t="inlineStr">
        <is>
          <t>31111 Greenfield, Beverly Hills MI 48009</t>
        </is>
      </c>
      <c r="D5" s="6" t="n">
        <v>0.2</v>
      </c>
      <c r="E5" s="6" t="n"/>
      <c r="F5" s="6" t="inlineStr">
        <is>
          <t>Stockist</t>
        </is>
      </c>
      <c r="G5" s="6" t="inlineStr">
        <is>
          <t>Germack locator</t>
        </is>
      </c>
      <c r="H5" s="6" t="inlineStr">
        <is>
          <t>See tab 1</t>
        </is>
      </c>
      <c r="I5" s="6" t="n"/>
      <c r="J5" s="6" t="inlineStr">
        <is>
          <t>~$4–$6 (est.)</t>
        </is>
      </c>
    </row>
    <row r="6">
      <c r="A6" s="6" t="n">
        <v>4</v>
      </c>
      <c r="B6" s="6" t="inlineStr">
        <is>
          <t>Market Square #1 - Birmingham</t>
        </is>
      </c>
      <c r="C6" s="6" t="inlineStr">
        <is>
          <t>1964 Southfield Rd, Birmingham MI 48009</t>
        </is>
      </c>
      <c r="D6" s="6" t="n">
        <v>0.2</v>
      </c>
      <c r="E6" s="6" t="n"/>
      <c r="F6" s="6" t="inlineStr">
        <is>
          <t>Stockist</t>
        </is>
      </c>
      <c r="G6" s="6" t="inlineStr">
        <is>
          <t>Germack locator</t>
        </is>
      </c>
      <c r="H6" s="6" t="inlineStr">
        <is>
          <t>See tab 1</t>
        </is>
      </c>
      <c r="I6" s="6" t="n"/>
      <c r="J6" s="6" t="inlineStr">
        <is>
          <t>~$4–$6 (est.)</t>
        </is>
      </c>
    </row>
    <row r="7">
      <c r="A7" s="6" t="n">
        <v>5</v>
      </c>
      <c r="B7" s="6" t="inlineStr">
        <is>
          <t>Market Square (former Papa Joe’s)</t>
        </is>
      </c>
      <c r="C7" s="6" t="inlineStr">
        <is>
          <t>34244 Woodward, Birmingham MI 48009</t>
        </is>
      </c>
      <c r="D7" s="6" t="n">
        <v>0.2</v>
      </c>
      <c r="E7" s="6" t="n"/>
      <c r="F7" s="6" t="inlineStr">
        <is>
          <t>Stockist</t>
        </is>
      </c>
      <c r="G7" s="6" t="inlineStr">
        <is>
          <t>Germack locator</t>
        </is>
      </c>
      <c r="H7" s="6" t="inlineStr">
        <is>
          <t>See tab 1</t>
        </is>
      </c>
      <c r="I7" s="6" t="n"/>
      <c r="J7" s="6" t="inlineStr">
        <is>
          <t>~$4–$6 (est.)</t>
        </is>
      </c>
    </row>
    <row r="8">
      <c r="A8" t="n">
        <v>6</v>
      </c>
      <c r="B8" t="inlineStr">
        <is>
          <t>Hollywood Market #3 - Troy</t>
        </is>
      </c>
      <c r="C8" t="inlineStr">
        <is>
          <t>2670 W. Maple, Troy MI 48084</t>
        </is>
      </c>
      <c r="D8" t="n">
        <v>1.9</v>
      </c>
      <c r="F8" t="inlineStr">
        <is>
          <t>Stockist</t>
        </is>
      </c>
      <c r="G8" t="inlineStr">
        <is>
          <t>Germack locator</t>
        </is>
      </c>
      <c r="H8" t="inlineStr">
        <is>
          <t>See tab 1</t>
        </is>
      </c>
      <c r="J8" t="inlineStr">
        <is>
          <t>~$4–$6 (est.)</t>
        </is>
      </c>
    </row>
    <row r="9">
      <c r="A9" s="6" t="n">
        <v>7</v>
      </c>
      <c r="B9" s="6" t="inlineStr">
        <is>
          <t>Troy Cheese &amp; Wine Barn</t>
        </is>
      </c>
      <c r="C9" s="6" t="inlineStr">
        <is>
          <t>2558 E. Maple, Troy MI 48084</t>
        </is>
      </c>
      <c r="D9" s="6" t="n">
        <v>1.9</v>
      </c>
      <c r="E9" s="6" t="n"/>
      <c r="F9" s="6" t="inlineStr">
        <is>
          <t>Stockist</t>
        </is>
      </c>
      <c r="G9" s="6" t="inlineStr">
        <is>
          <t>Germack locator</t>
        </is>
      </c>
      <c r="H9" s="6" t="inlineStr">
        <is>
          <t>See tab 1</t>
        </is>
      </c>
      <c r="I9" s="6" t="n"/>
      <c r="J9" s="6" t="inlineStr">
        <is>
          <t>~$4–$6 (est.)</t>
        </is>
      </c>
    </row>
    <row r="10">
      <c r="A10" s="6" t="n">
        <v>8</v>
      </c>
      <c r="B10" s="6" t="inlineStr">
        <is>
          <t>Market Fresh - Bev Hills</t>
        </is>
      </c>
      <c r="C10" s="6" t="inlineStr">
        <is>
          <t>31201 Southfield, Beverly Hills MI 48025</t>
        </is>
      </c>
      <c r="D10" s="6" t="n">
        <v>2.7</v>
      </c>
      <c r="E10" s="6" t="n"/>
      <c r="F10" s="6" t="inlineStr">
        <is>
          <t>Stockist</t>
        </is>
      </c>
      <c r="G10" s="6" t="inlineStr">
        <is>
          <t>Germack locator</t>
        </is>
      </c>
      <c r="H10" s="6" t="inlineStr">
        <is>
          <t>See tab 1</t>
        </is>
      </c>
      <c r="I10" s="6" t="n"/>
      <c r="J10" s="6" t="inlineStr">
        <is>
          <t>~$4–$6 (est.)</t>
        </is>
      </c>
    </row>
    <row r="11">
      <c r="A11" s="6" t="n">
        <v>9</v>
      </c>
      <c r="B11" s="6" t="inlineStr">
        <is>
          <t>BLOOMFIELD MOBIL</t>
        </is>
      </c>
      <c r="C11" s="6" t="inlineStr">
        <is>
          <t>1501 SOUTH OPDYKE RD, BLOOMFIELD TWP MI 48304</t>
        </is>
      </c>
      <c r="D11" s="6" t="n">
        <v>3.1</v>
      </c>
      <c r="E11" s="6" t="n"/>
      <c r="F11" s="6" t="inlineStr">
        <is>
          <t>Stockist</t>
        </is>
      </c>
      <c r="G11" s="6" t="inlineStr">
        <is>
          <t>Germack locator</t>
        </is>
      </c>
      <c r="H11" s="6" t="inlineStr">
        <is>
          <t>See tab 1</t>
        </is>
      </c>
      <c r="I11" s="6" t="n"/>
      <c r="J11" s="6" t="inlineStr">
        <is>
          <t>~$4–$6 (est.)</t>
        </is>
      </c>
    </row>
    <row r="12">
      <c r="A12" t="n">
        <v>10</v>
      </c>
      <c r="B12" t="inlineStr">
        <is>
          <t>Bloomfield Deli</t>
        </is>
      </c>
      <c r="C12" t="inlineStr">
        <is>
          <t>71 West Long Lake Road, Bloomfield Hills MI 48304</t>
        </is>
      </c>
      <c r="D12" t="n">
        <v>3.1</v>
      </c>
      <c r="F12" t="inlineStr">
        <is>
          <t>Stockist</t>
        </is>
      </c>
      <c r="G12" t="inlineStr">
        <is>
          <t>Germack locator</t>
        </is>
      </c>
      <c r="H12" t="inlineStr">
        <is>
          <t>See tab 1</t>
        </is>
      </c>
      <c r="J12" t="inlineStr">
        <is>
          <t>~$4–$6 (est.)</t>
        </is>
      </c>
    </row>
    <row r="13">
      <c r="A13" t="n">
        <v>11</v>
      </c>
      <c r="B13" t="inlineStr">
        <is>
          <t>Hollywood Market #4</t>
        </is>
      </c>
      <c r="C13" t="inlineStr">
        <is>
          <t>1525 Opdyke, Bloomfield Hills MI 48304</t>
        </is>
      </c>
      <c r="D13" t="n">
        <v>3.1</v>
      </c>
      <c r="F13" t="inlineStr">
        <is>
          <t>Stockist</t>
        </is>
      </c>
      <c r="G13" t="inlineStr">
        <is>
          <t>Germack locator</t>
        </is>
      </c>
      <c r="H13" t="inlineStr">
        <is>
          <t>See tab 1</t>
        </is>
      </c>
      <c r="J13" t="inlineStr">
        <is>
          <t>~$4–$6 (est.)</t>
        </is>
      </c>
    </row>
    <row r="14">
      <c r="A14" t="n">
        <v>12</v>
      </c>
      <c r="B14" t="inlineStr">
        <is>
          <t>Hollywood Market #4 - Bloomfield Hills Opdyke</t>
        </is>
      </c>
      <c r="C14" t="inlineStr">
        <is>
          <t>1525 Opdyke -, Bloomfield Hills MI 48304</t>
        </is>
      </c>
      <c r="D14" t="n">
        <v>3.1</v>
      </c>
      <c r="F14" t="inlineStr">
        <is>
          <t>Stockist</t>
        </is>
      </c>
      <c r="G14" t="inlineStr">
        <is>
          <t>Germack locator</t>
        </is>
      </c>
      <c r="H14" t="inlineStr">
        <is>
          <t>See tab 1</t>
        </is>
      </c>
      <c r="J14" t="inlineStr">
        <is>
          <t>~$4–$6 (est.)</t>
        </is>
      </c>
    </row>
    <row r="15"/>
    <row r="16">
      <c r="A16" s="3" t="inlineStr">
        <is>
          <t>PRICE COMPARISON (cheapest first, from public listings 10/26/2026; shipping and tax not included)</t>
        </is>
      </c>
    </row>
    <row r="17">
      <c r="B17" s="2" t="inlineStr">
        <is>
          <t>Option</t>
        </is>
      </c>
      <c r="C17" s="2" t="inlineStr">
        <is>
          <t>Pack size</t>
        </is>
      </c>
      <c r="D17" s="2" t="inlineStr">
        <is>
          <t>Price</t>
        </is>
      </c>
      <c r="E17" s="2" t="inlineStr">
        <is>
          <t>Per unit</t>
        </is>
      </c>
      <c r="F17" s="2" t="inlineStr">
        <is>
          <t>Notes</t>
        </is>
      </c>
      <c r="G17" s="2" t="inlineStr">
        <is>
          <t>Link</t>
        </is>
      </c>
    </row>
    <row r="18">
      <c r="B18" s="4" t="inlineStr">
        <is>
          <t>Germack In-Shell 10 lb bulk</t>
        </is>
      </c>
      <c r="C18" s="4" t="inlineStr">
        <is>
          <t>10 lb</t>
        </is>
      </c>
      <c r="D18" s="4" t="inlineStr">
        <is>
          <t>$24.99</t>
        </is>
      </c>
      <c r="E18" s="4" t="inlineStr">
        <is>
          <t>≈ $0.16/oz (≈ $1.40 per 9 oz)</t>
        </is>
      </c>
      <c r="F18" s="4" t="inlineStr">
        <is>
          <t>CHEAPEST, but you bag it yourself</t>
        </is>
      </c>
      <c r="G18" s="4" t="inlineStr">
        <is>
          <t>https://www.germack.com/shop,peanuts-in-shell-10lb-632329</t>
        </is>
      </c>
    </row>
    <row r="19">
      <c r="B19" t="inlineStr">
        <is>
          <t>Germack Virginia In-Shell Roasted &amp; Salted</t>
        </is>
      </c>
      <c r="C19" t="inlineStr">
        <is>
          <t>7 oz bag</t>
        </is>
      </c>
      <c r="D19" t="inlineStr">
        <is>
          <t>$4.25</t>
        </is>
      </c>
      <c r="E19" t="inlineStr">
        <is>
          <t>$4.25/bag</t>
        </is>
      </c>
      <c r="F19" t="inlineStr">
        <is>
          <t>No 9 oz Germack bag found; check the size listed for the box</t>
        </is>
      </c>
      <c r="G19" t="inlineStr">
        <is>
          <t>https://www.germack.com/shop,peanuts-virginia-in-shell-roasted---salted---7oz-11191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40" customWidth="1" min="3" max="3"/>
    <col width="10" customWidth="1" min="4" max="4"/>
    <col width="16" customWidth="1" min="5" max="5"/>
    <col width="16" customWidth="1" min="6" max="6"/>
    <col width="16" customWidth="1" min="7" max="7"/>
    <col width="52" customWidth="1" min="8" max="8"/>
    <col width="40" customWidth="1" min="9" max="9"/>
    <col width="30" customWidth="1" min="10" max="10"/>
  </cols>
  <sheetData>
    <row r="1" ht="60" customHeight="1">
      <c r="A1" s="1" t="inlineStr">
        <is>
          <t>Pop Daddy Dill Pickle Pretzels, 7.5 oz. Pop Daddy stockists within 10 miles of Birmingham, from Pop Daddy’s locator. "PD items" in the notes is how many Pop Daddy products a store carries; more means better odds of Dill Pickle.</t>
        </is>
      </c>
    </row>
    <row r="2">
      <c r="A2" s="2" t="inlineStr">
        <is>
          <t>#</t>
        </is>
      </c>
      <c r="B2" s="2" t="inlineStr">
        <is>
          <t>Place</t>
        </is>
      </c>
      <c r="C2" s="2" t="inlineStr">
        <is>
          <t>Address</t>
        </is>
      </c>
      <c r="D2" s="2" t="inlineStr">
        <is>
          <t>Miles from Birmingham</t>
        </is>
      </c>
      <c r="E2" s="2" t="inlineStr">
        <is>
          <t>Phone</t>
        </is>
      </c>
      <c r="F2" s="2" t="inlineStr">
        <is>
          <t>Type</t>
        </is>
      </c>
      <c r="G2" s="2" t="inlineStr">
        <is>
          <t>Confidence</t>
        </is>
      </c>
      <c r="H2" s="2" t="inlineStr">
        <is>
          <t>Notes</t>
        </is>
      </c>
      <c r="I2" s="2" t="inlineStr">
        <is>
          <t>Link</t>
        </is>
      </c>
      <c r="J2" s="2" t="inlineStr">
        <is>
          <t>Est. price</t>
        </is>
      </c>
    </row>
    <row r="3">
      <c r="A3" t="n">
        <v>1</v>
      </c>
      <c r="B3" t="inlineStr">
        <is>
          <t>Pop Daddy direct – 7.5 oz Dill Pickle CASE</t>
        </is>
      </c>
      <c r="C3" t="inlineStr">
        <is>
          <t>HQ: 5775 Brighton Pines Ct, Howell</t>
        </is>
      </c>
      <c r="E3" t="inlineStr">
        <is>
          <t>(734) 550-9900</t>
        </is>
      </c>
      <c r="F3" t="inlineStr">
        <is>
          <t>Ship / wholesale</t>
        </is>
      </c>
      <c r="G3" t="inlineStr">
        <is>
          <t>Confirmed</t>
        </is>
      </c>
      <c r="H3" t="inlineStr">
        <is>
          <t>Case $100; single bags $5.</t>
        </is>
      </c>
      <c r="I3" t="inlineStr">
        <is>
          <t>https://popdaddysnacks.com/pages/pop-daddy-for-wholesalers</t>
        </is>
      </c>
      <c r="J3" t="inlineStr">
        <is>
          <t>$5 single · $100 case</t>
        </is>
      </c>
    </row>
    <row r="4">
      <c r="A4" s="6" t="n">
        <v>2</v>
      </c>
      <c r="B4" s="6" t="inlineStr">
        <is>
          <t>Market Square (former Papa Joe’s)</t>
        </is>
      </c>
      <c r="C4" s="6" t="inlineStr">
        <is>
          <t>34244 Woodward Ave, Birmingham, MI 48009</t>
        </is>
      </c>
      <c r="D4" s="6" t="n">
        <v>0.2</v>
      </c>
      <c r="E4" s="6" t="n"/>
      <c r="F4" s="6" t="inlineStr">
        <is>
          <t>Stockist</t>
        </is>
      </c>
      <c r="G4" s="6" t="inlineStr">
        <is>
          <t>Pop Daddy locator</t>
        </is>
      </c>
      <c r="H4" s="6" t="inlineStr">
        <is>
          <t>10 PD items · also Germack</t>
        </is>
      </c>
      <c r="I4" s="6" t="n"/>
      <c r="J4" s="6" t="inlineStr">
        <is>
          <t>~$4.50–$6 (est.)</t>
        </is>
      </c>
    </row>
    <row r="5">
      <c r="A5" s="6" t="n">
        <v>3</v>
      </c>
      <c r="B5" s="6" t="inlineStr">
        <is>
          <t>Mkt Square(Birm)Special</t>
        </is>
      </c>
      <c r="C5" s="6" t="inlineStr">
        <is>
          <t>1964 Southfield Rd, Birmingham, MI 48009</t>
        </is>
      </c>
      <c r="D5" s="6" t="n">
        <v>0.2</v>
      </c>
      <c r="E5" s="6" t="n"/>
      <c r="F5" s="6" t="inlineStr">
        <is>
          <t>Stockist</t>
        </is>
      </c>
      <c r="G5" s="6" t="inlineStr">
        <is>
          <t>Pop Daddy locator</t>
        </is>
      </c>
      <c r="H5" s="6" t="inlineStr">
        <is>
          <t>6 PD items · also Germack</t>
        </is>
      </c>
      <c r="I5" s="6" t="n"/>
      <c r="J5" s="6" t="inlineStr">
        <is>
          <t>~$4.50–$6 (est.)</t>
        </is>
      </c>
    </row>
    <row r="6">
      <c r="A6" s="6" t="n">
        <v>4</v>
      </c>
      <c r="B6" s="6" t="inlineStr">
        <is>
          <t>KROGER</t>
        </is>
      </c>
      <c r="C6" s="6" t="inlineStr">
        <is>
          <t>685 E Maple Road, Birmingham, MI 48009</t>
        </is>
      </c>
      <c r="D6" s="6" t="n">
        <v>0.2</v>
      </c>
      <c r="E6" s="6" t="n"/>
      <c r="F6" s="6" t="inlineStr">
        <is>
          <t>Stockist</t>
        </is>
      </c>
      <c r="G6" s="6" t="inlineStr">
        <is>
          <t>Pop Daddy locator</t>
        </is>
      </c>
      <c r="H6" s="6" t="inlineStr">
        <is>
          <t>4 PD items</t>
        </is>
      </c>
      <c r="I6" s="6" t="n"/>
      <c r="J6" s="6" t="inlineStr">
        <is>
          <t>~$4.50–$6 (est.)</t>
        </is>
      </c>
    </row>
    <row r="7">
      <c r="A7" s="6" t="n">
        <v>5</v>
      </c>
      <c r="B7" s="6" t="inlineStr">
        <is>
          <t>KROGER</t>
        </is>
      </c>
      <c r="C7" s="6" t="inlineStr">
        <is>
          <t>1237 Coolidge Highway, Troy, MI 48084</t>
        </is>
      </c>
      <c r="D7" s="6" t="n">
        <v>1.9</v>
      </c>
      <c r="E7" s="6" t="n"/>
      <c r="F7" s="6" t="inlineStr">
        <is>
          <t>Stockist</t>
        </is>
      </c>
      <c r="G7" s="6" t="inlineStr">
        <is>
          <t>Pop Daddy locator</t>
        </is>
      </c>
      <c r="H7" s="6" t="inlineStr">
        <is>
          <t>4 PD items</t>
        </is>
      </c>
      <c r="I7" s="6" t="n"/>
      <c r="J7" s="6" t="inlineStr">
        <is>
          <t>~$4.50–$6 (est.)</t>
        </is>
      </c>
    </row>
    <row r="8">
      <c r="A8" t="n">
        <v>6</v>
      </c>
      <c r="B8" t="inlineStr">
        <is>
          <t>Walmart</t>
        </is>
      </c>
      <c r="C8" t="inlineStr">
        <is>
          <t>2001 W Maple Rd, Troy, MI 48084</t>
        </is>
      </c>
      <c r="D8" t="n">
        <v>1.9</v>
      </c>
      <c r="E8" t="inlineStr">
        <is>
          <t>248-435-4035</t>
        </is>
      </c>
      <c r="F8" t="inlineStr">
        <is>
          <t>Stockist</t>
        </is>
      </c>
      <c r="G8" t="inlineStr">
        <is>
          <t>Pop Daddy locator</t>
        </is>
      </c>
      <c r="H8" t="inlineStr">
        <is>
          <t>2 PD items</t>
        </is>
      </c>
      <c r="J8" t="inlineStr">
        <is>
          <t>~$3–$5 (est.)</t>
        </is>
      </c>
    </row>
    <row r="9">
      <c r="A9" t="n">
        <v>7</v>
      </c>
      <c r="B9" t="inlineStr">
        <is>
          <t>Naked Fuel</t>
        </is>
      </c>
      <c r="C9" t="inlineStr">
        <is>
          <t>2976 W Maple Road, Troy, MI 48084</t>
        </is>
      </c>
      <c r="D9" t="n">
        <v>1.9</v>
      </c>
      <c r="F9" t="inlineStr">
        <is>
          <t>Stockist</t>
        </is>
      </c>
      <c r="G9" t="inlineStr">
        <is>
          <t>Pop Daddy locator</t>
        </is>
      </c>
      <c r="H9" t="inlineStr">
        <is>
          <t>1 PD items</t>
        </is>
      </c>
      <c r="J9" t="inlineStr">
        <is>
          <t>~$4.50–$6 (est.)</t>
        </is>
      </c>
    </row>
    <row r="10">
      <c r="A10" s="6" t="n">
        <v>8</v>
      </c>
      <c r="B10" s="6" t="inlineStr">
        <is>
          <t>Mkt Fresh</t>
        </is>
      </c>
      <c r="C10" s="6" t="inlineStr">
        <is>
          <t>31201 Southfield Rd, Beverly hills, MI 48025</t>
        </is>
      </c>
      <c r="D10" s="6" t="n">
        <v>2.7</v>
      </c>
      <c r="E10" s="6" t="n"/>
      <c r="F10" s="6" t="inlineStr">
        <is>
          <t>Stockist</t>
        </is>
      </c>
      <c r="G10" s="6" t="inlineStr">
        <is>
          <t>Pop Daddy locator</t>
        </is>
      </c>
      <c r="H10" s="6" t="inlineStr">
        <is>
          <t>6 PD items · also Germack</t>
        </is>
      </c>
      <c r="I10" s="6" t="n"/>
      <c r="J10" s="6" t="inlineStr">
        <is>
          <t>~$4.50–$6 (est.)</t>
        </is>
      </c>
    </row>
    <row r="11">
      <c r="A11" t="n">
        <v>9</v>
      </c>
      <c r="B11" t="inlineStr">
        <is>
          <t>Michigan Beer Growler Company</t>
        </is>
      </c>
      <c r="C11" t="inlineStr">
        <is>
          <t>31221 Southfield Rd, Beverly hills, MI 48025</t>
        </is>
      </c>
      <c r="D11" t="n">
        <v>2.7</v>
      </c>
      <c r="F11" t="inlineStr">
        <is>
          <t>Stockist</t>
        </is>
      </c>
      <c r="G11" t="inlineStr">
        <is>
          <t>Pop Daddy locator</t>
        </is>
      </c>
      <c r="H11" t="inlineStr">
        <is>
          <t>1 PD items</t>
        </is>
      </c>
      <c r="J11" t="inlineStr">
        <is>
          <t>~$4.50–$6 (est.)</t>
        </is>
      </c>
    </row>
    <row r="12">
      <c r="A12" s="6" t="n">
        <v>10</v>
      </c>
      <c r="B12" s="6" t="inlineStr">
        <is>
          <t>Westborn Market</t>
        </is>
      </c>
      <c r="C12" s="6" t="inlineStr">
        <is>
          <t>27659 Woodward Avenue, Berkley, MI 48072</t>
        </is>
      </c>
      <c r="D12" s="6" t="n">
        <v>3.2</v>
      </c>
      <c r="E12" s="6" t="inlineStr">
        <is>
          <t>(248) 547-1000</t>
        </is>
      </c>
      <c r="F12" s="6" t="inlineStr">
        <is>
          <t>Stockist</t>
        </is>
      </c>
      <c r="G12" s="6" t="inlineStr">
        <is>
          <t>Pop Daddy locator</t>
        </is>
      </c>
      <c r="H12" s="6" t="inlineStr">
        <is>
          <t>13 PD items · also Germack</t>
        </is>
      </c>
      <c r="I12" s="6" t="n"/>
      <c r="J12" s="6" t="inlineStr">
        <is>
          <t>~$4.50–$6 (est.)</t>
        </is>
      </c>
    </row>
    <row r="13">
      <c r="A13" t="n">
        <v>11</v>
      </c>
      <c r="B13" t="inlineStr">
        <is>
          <t>The Neighbor's Shoppe</t>
        </is>
      </c>
      <c r="C13" t="inlineStr">
        <is>
          <t>2833 W. 12 Mile Road, Berkley, MI 48072</t>
        </is>
      </c>
      <c r="D13" t="n">
        <v>3.2</v>
      </c>
      <c r="F13" t="inlineStr">
        <is>
          <t>Stockist</t>
        </is>
      </c>
      <c r="G13" t="inlineStr">
        <is>
          <t>Pop Daddy locator</t>
        </is>
      </c>
      <c r="H13" t="inlineStr">
        <is>
          <t>2 PD items</t>
        </is>
      </c>
      <c r="J13" t="inlineStr">
        <is>
          <t>~$4.50–$6 (est.)</t>
        </is>
      </c>
    </row>
    <row r="14">
      <c r="A14" s="6" t="n">
        <v>12</v>
      </c>
      <c r="B14" s="6" t="inlineStr">
        <is>
          <t>Westborn(Berk)Grocery</t>
        </is>
      </c>
      <c r="C14" s="6" t="inlineStr">
        <is>
          <t>27659 Woodward Ave, Berkley, MI 48072</t>
        </is>
      </c>
      <c r="D14" s="6" t="n">
        <v>3.2</v>
      </c>
      <c r="E14" s="6" t="n"/>
      <c r="F14" s="6" t="inlineStr">
        <is>
          <t>Stockist</t>
        </is>
      </c>
      <c r="G14" s="6" t="inlineStr">
        <is>
          <t>Pop Daddy locator</t>
        </is>
      </c>
      <c r="H14" s="6" t="inlineStr">
        <is>
          <t>1 PD items · also Germack</t>
        </is>
      </c>
      <c r="I14" s="6" t="n"/>
      <c r="J14" s="6" t="inlineStr">
        <is>
          <t>~$4.50–$6 (est.)</t>
        </is>
      </c>
    </row>
    <row r="15">
      <c r="A15" t="n">
        <v>13</v>
      </c>
      <c r="B15" t="inlineStr">
        <is>
          <t>Barrel's &amp; Vines Shell</t>
        </is>
      </c>
      <c r="C15" t="inlineStr">
        <is>
          <t>31786 Woodward, Royal oak, MI 48073</t>
        </is>
      </c>
      <c r="D15" t="n">
        <v>3.4</v>
      </c>
      <c r="F15" t="inlineStr">
        <is>
          <t>Stockist</t>
        </is>
      </c>
      <c r="G15" t="inlineStr">
        <is>
          <t>Pop Daddy locator</t>
        </is>
      </c>
      <c r="H15" t="inlineStr">
        <is>
          <t>7 PD items</t>
        </is>
      </c>
      <c r="J15" t="inlineStr">
        <is>
          <t>~$4.50–$6 (est.)</t>
        </is>
      </c>
    </row>
    <row r="16">
      <c r="A16" t="n">
        <v>14</v>
      </c>
      <c r="B16" t="inlineStr">
        <is>
          <t>KROGER</t>
        </is>
      </c>
      <c r="C16" t="inlineStr">
        <is>
          <t>19855 W 12 Mile Road, Southfield, MI 48076</t>
        </is>
      </c>
      <c r="D16" t="n">
        <v>3.4</v>
      </c>
      <c r="F16" t="inlineStr">
        <is>
          <t>Stockist</t>
        </is>
      </c>
      <c r="G16" t="inlineStr">
        <is>
          <t>Pop Daddy locator</t>
        </is>
      </c>
      <c r="H16" t="inlineStr">
        <is>
          <t>4 PD items</t>
        </is>
      </c>
      <c r="J16" t="inlineStr">
        <is>
          <t>~$4.50–$6 (est.)</t>
        </is>
      </c>
    </row>
    <row r="17">
      <c r="A17" s="6" t="n">
        <v>15</v>
      </c>
      <c r="B17" s="6" t="inlineStr">
        <is>
          <t>Plum Market</t>
        </is>
      </c>
      <c r="C17" s="6" t="inlineStr">
        <is>
          <t>3675 West Maple Road, Bloomfield township, MI 48301</t>
        </is>
      </c>
      <c r="D17" s="6" t="n">
        <v>3.5</v>
      </c>
      <c r="E17" s="6" t="inlineStr">
        <is>
          <t>(248) 594-2555</t>
        </is>
      </c>
      <c r="F17" s="6" t="inlineStr">
        <is>
          <t>Stockist</t>
        </is>
      </c>
      <c r="G17" s="6" t="inlineStr">
        <is>
          <t>Pop Daddy locator</t>
        </is>
      </c>
      <c r="H17" s="6" t="inlineStr">
        <is>
          <t>16 PD items · also Germack</t>
        </is>
      </c>
      <c r="I17" s="6" t="n"/>
      <c r="J17" s="6" t="inlineStr">
        <is>
          <t>~$4.50–$6 (est.)</t>
        </is>
      </c>
    </row>
    <row r="18">
      <c r="A18" t="n">
        <v>16</v>
      </c>
      <c r="B18" t="inlineStr">
        <is>
          <t>KROGER</t>
        </is>
      </c>
      <c r="C18" t="inlineStr">
        <is>
          <t>3600 W Maple Rd, Bloomfield hills, MI 48301</t>
        </is>
      </c>
      <c r="D18" t="n">
        <v>3.5</v>
      </c>
      <c r="F18" t="inlineStr">
        <is>
          <t>Stockist</t>
        </is>
      </c>
      <c r="G18" t="inlineStr">
        <is>
          <t>Pop Daddy locator</t>
        </is>
      </c>
      <c r="H18" t="inlineStr">
        <is>
          <t>2 PD items</t>
        </is>
      </c>
      <c r="J18" t="inlineStr">
        <is>
          <t>~$4.50–$6 (est.)</t>
        </is>
      </c>
    </row>
    <row r="19">
      <c r="A19" s="6" t="n">
        <v>17</v>
      </c>
      <c r="B19" s="6" t="inlineStr">
        <is>
          <t>Nino's (Troy) - Grocery</t>
        </is>
      </c>
      <c r="C19" s="6" t="inlineStr">
        <is>
          <t>6835 Rochester Rd, Troy, MI 48098</t>
        </is>
      </c>
      <c r="D19" s="6" t="n">
        <v>4</v>
      </c>
      <c r="E19" s="6" t="n"/>
      <c r="F19" s="6" t="inlineStr">
        <is>
          <t>Stockist</t>
        </is>
      </c>
      <c r="G19" s="6" t="inlineStr">
        <is>
          <t>Pop Daddy locator</t>
        </is>
      </c>
      <c r="H19" s="6" t="inlineStr">
        <is>
          <t>3 PD items</t>
        </is>
      </c>
      <c r="I19" s="6" t="n"/>
      <c r="J19" s="6" t="inlineStr">
        <is>
          <t>~$4.50–$6 (est.)</t>
        </is>
      </c>
    </row>
    <row r="20">
      <c r="A20" t="n">
        <v>18</v>
      </c>
      <c r="B20" t="inlineStr">
        <is>
          <t>Monarch Market Cafe</t>
        </is>
      </c>
      <c r="C20" t="inlineStr">
        <is>
          <t>10099 W Eleven Mile Rd, Huntington woods, MI 48070</t>
        </is>
      </c>
      <c r="D20" t="n">
        <v>4.8</v>
      </c>
      <c r="F20" t="inlineStr">
        <is>
          <t>Stockist</t>
        </is>
      </c>
      <c r="G20" t="inlineStr">
        <is>
          <t>Pop Daddy locator</t>
        </is>
      </c>
      <c r="H20" t="inlineStr">
        <is>
          <t>3 PD items</t>
        </is>
      </c>
      <c r="J20" t="inlineStr">
        <is>
          <t>~$4.50–$6 (est.)</t>
        </is>
      </c>
    </row>
    <row r="21">
      <c r="A21" t="n">
        <v>19</v>
      </c>
      <c r="B21" t="inlineStr">
        <is>
          <t>KROGER</t>
        </is>
      </c>
      <c r="C21" t="inlineStr">
        <is>
          <t>3125 John R Road, Troy, MI 48083</t>
        </is>
      </c>
      <c r="D21" t="n">
        <v>5</v>
      </c>
      <c r="F21" t="inlineStr">
        <is>
          <t>Stockist</t>
        </is>
      </c>
      <c r="G21" t="inlineStr">
        <is>
          <t>Pop Daddy locator</t>
        </is>
      </c>
      <c r="H21" t="inlineStr">
        <is>
          <t>4 PD items</t>
        </is>
      </c>
      <c r="J21" t="inlineStr">
        <is>
          <t>~$4.50–$6 (est.)</t>
        </is>
      </c>
    </row>
    <row r="22">
      <c r="A22" s="6" t="n">
        <v>20</v>
      </c>
      <c r="B22" s="6" t="inlineStr">
        <is>
          <t>Hollywood Markets</t>
        </is>
      </c>
      <c r="C22" s="6" t="inlineStr">
        <is>
          <t>714 N Main Street, Royal oak, MI 48067</t>
        </is>
      </c>
      <c r="D22" s="6" t="n">
        <v>5.4</v>
      </c>
      <c r="E22" s="6" t="inlineStr">
        <is>
          <t>(248) 548-5051</t>
        </is>
      </c>
      <c r="F22" s="6" t="inlineStr">
        <is>
          <t>Stockist</t>
        </is>
      </c>
      <c r="G22" s="6" t="inlineStr">
        <is>
          <t>Pop Daddy locator</t>
        </is>
      </c>
      <c r="H22" s="6" t="inlineStr">
        <is>
          <t>10 PD items · also Germack</t>
        </is>
      </c>
      <c r="I22" s="6" t="n"/>
      <c r="J22" s="6" t="inlineStr">
        <is>
          <t>~$4.50–$6 (est.)</t>
        </is>
      </c>
    </row>
    <row r="23">
      <c r="A23" s="6" t="n">
        <v>21</v>
      </c>
      <c r="B23" s="6" t="inlineStr">
        <is>
          <t>Hollywood</t>
        </is>
      </c>
      <c r="C23" s="6" t="inlineStr">
        <is>
          <t>714 N. Main, Royal oak, MI 48067</t>
        </is>
      </c>
      <c r="D23" s="6" t="n">
        <v>5.4</v>
      </c>
      <c r="E23" s="6" t="n"/>
      <c r="F23" s="6" t="inlineStr">
        <is>
          <t>Stockist</t>
        </is>
      </c>
      <c r="G23" s="6" t="inlineStr">
        <is>
          <t>Pop Daddy locator</t>
        </is>
      </c>
      <c r="H23" s="6" t="inlineStr">
        <is>
          <t>7 PD items · also Germack</t>
        </is>
      </c>
      <c r="I23" s="6" t="n"/>
      <c r="J23" s="6" t="inlineStr">
        <is>
          <t>~$4.50–$6 (est.)</t>
        </is>
      </c>
    </row>
    <row r="24">
      <c r="A24" t="n">
        <v>22</v>
      </c>
      <c r="B24" t="inlineStr">
        <is>
          <t>KROGER</t>
        </is>
      </c>
      <c r="C24" t="inlineStr">
        <is>
          <t>2200 E. 12 Mile Road, Royal oak, MI 48067</t>
        </is>
      </c>
      <c r="D24" t="n">
        <v>5.4</v>
      </c>
      <c r="F24" t="inlineStr">
        <is>
          <t>Stockist</t>
        </is>
      </c>
      <c r="G24" t="inlineStr">
        <is>
          <t>Pop Daddy locator</t>
        </is>
      </c>
      <c r="H24" t="inlineStr">
        <is>
          <t>4 PD items</t>
        </is>
      </c>
      <c r="J24" t="inlineStr">
        <is>
          <t>~$4.50–$6 (est.)</t>
        </is>
      </c>
    </row>
    <row r="25">
      <c r="A25" t="n">
        <v>23</v>
      </c>
      <c r="B25" t="inlineStr">
        <is>
          <t>Signature Collective</t>
        </is>
      </c>
      <c r="C25" t="inlineStr">
        <is>
          <t>137 S. Wilson Royal, Oak, MI 48067</t>
        </is>
      </c>
      <c r="D25" t="n">
        <v>5.4</v>
      </c>
      <c r="F25" t="inlineStr">
        <is>
          <t>Stockist</t>
        </is>
      </c>
      <c r="G25" t="inlineStr">
        <is>
          <t>Pop Daddy locator</t>
        </is>
      </c>
      <c r="H25" t="inlineStr">
        <is>
          <t>1 PD items</t>
        </is>
      </c>
      <c r="J25" t="inlineStr">
        <is>
          <t>~$4.50–$6 (est.)</t>
        </is>
      </c>
    </row>
    <row r="26">
      <c r="A26" t="n">
        <v>24</v>
      </c>
      <c r="B26" t="inlineStr">
        <is>
          <t>KROGER</t>
        </is>
      </c>
      <c r="C26" t="inlineStr">
        <is>
          <t>26200 Greenfield Road, Oak park, MI 48237</t>
        </is>
      </c>
      <c r="D26" t="n">
        <v>5.7</v>
      </c>
      <c r="F26" t="inlineStr">
        <is>
          <t>Stockist</t>
        </is>
      </c>
      <c r="G26" t="inlineStr">
        <is>
          <t>Pop Daddy locator</t>
        </is>
      </c>
      <c r="H26" t="inlineStr">
        <is>
          <t>4 PD items</t>
        </is>
      </c>
      <c r="J26" t="inlineStr">
        <is>
          <t>~$4.50–$6 (est.)</t>
        </is>
      </c>
    </row>
    <row r="27">
      <c r="A27" t="n">
        <v>25</v>
      </c>
      <c r="B27" t="inlineStr">
        <is>
          <t>KROGER</t>
        </is>
      </c>
      <c r="C27" t="inlineStr">
        <is>
          <t>31 E Long Lake Rd, Troy, MI 48085</t>
        </is>
      </c>
      <c r="D27" t="n">
        <v>6</v>
      </c>
      <c r="F27" t="inlineStr">
        <is>
          <t>Stockist</t>
        </is>
      </c>
      <c r="G27" t="inlineStr">
        <is>
          <t>Pop Daddy locator</t>
        </is>
      </c>
      <c r="H27" t="inlineStr">
        <is>
          <t>3 PD items</t>
        </is>
      </c>
      <c r="J27" t="inlineStr">
        <is>
          <t>~$4.50–$6 (est.)</t>
        </is>
      </c>
    </row>
    <row r="28">
      <c r="A28" s="6" t="n">
        <v>26</v>
      </c>
      <c r="B28" s="6" t="inlineStr">
        <is>
          <t>Hollywood Markets</t>
        </is>
      </c>
      <c r="C28" s="6" t="inlineStr">
        <is>
          <t>29200 North Campbell Road, Madison heights, MI 48071</t>
        </is>
      </c>
      <c r="D28" s="6" t="n">
        <v>6.3</v>
      </c>
      <c r="E28" s="6" t="inlineStr">
        <is>
          <t>(248) 399-0900</t>
        </is>
      </c>
      <c r="F28" s="6" t="inlineStr">
        <is>
          <t>Stockist</t>
        </is>
      </c>
      <c r="G28" s="6" t="inlineStr">
        <is>
          <t>Pop Daddy locator</t>
        </is>
      </c>
      <c r="H28" s="6" t="inlineStr">
        <is>
          <t>8 PD items · also Germack</t>
        </is>
      </c>
      <c r="I28" s="6" t="n"/>
      <c r="J28" s="6" t="inlineStr">
        <is>
          <t>~$4.50–$6 (est.)</t>
        </is>
      </c>
    </row>
    <row r="29">
      <c r="A29" s="6" t="n">
        <v>27</v>
      </c>
      <c r="B29" s="6" t="inlineStr">
        <is>
          <t>Hollywood</t>
        </is>
      </c>
      <c r="C29" s="6" t="inlineStr">
        <is>
          <t>29200 Campbell Rd, Madison heights, MI 48071</t>
        </is>
      </c>
      <c r="D29" s="6" t="n">
        <v>6.3</v>
      </c>
      <c r="E29" s="6" t="n"/>
      <c r="F29" s="6" t="inlineStr">
        <is>
          <t>Stockist</t>
        </is>
      </c>
      <c r="G29" s="6" t="inlineStr">
        <is>
          <t>Pop Daddy locator</t>
        </is>
      </c>
      <c r="H29" s="6" t="inlineStr">
        <is>
          <t>6 PD items · also Germack</t>
        </is>
      </c>
      <c r="I29" s="6" t="n"/>
      <c r="J29" s="6" t="inlineStr">
        <is>
          <t>~$4.50–$6 (est.)</t>
        </is>
      </c>
    </row>
    <row r="30">
      <c r="A30" t="n">
        <v>28</v>
      </c>
      <c r="B30" t="inlineStr">
        <is>
          <t>Costco</t>
        </is>
      </c>
      <c r="C30" t="inlineStr">
        <is>
          <t>30550 Stephenson Highway, Madison heights, MI 48071</t>
        </is>
      </c>
      <c r="D30" t="n">
        <v>6.3</v>
      </c>
      <c r="E30" t="inlineStr">
        <is>
          <t>(248) 616-0048</t>
        </is>
      </c>
      <c r="F30" t="inlineStr">
        <is>
          <t>Stockist</t>
        </is>
      </c>
      <c r="G30" t="inlineStr">
        <is>
          <t>Pop Daddy locator</t>
        </is>
      </c>
      <c r="H30" t="inlineStr">
        <is>
          <t>1 PD items</t>
        </is>
      </c>
      <c r="J30" t="inlineStr">
        <is>
          <t>~$3–$5 (est.)</t>
        </is>
      </c>
    </row>
    <row r="31">
      <c r="A31" t="n">
        <v>29</v>
      </c>
      <c r="B31" t="inlineStr">
        <is>
          <t>Dd Essentials</t>
        </is>
      </c>
      <c r="C31" t="inlineStr">
        <is>
          <t>1008 Orchard Ave, Ferndale, MI 48220</t>
        </is>
      </c>
      <c r="D31" t="n">
        <v>7.2</v>
      </c>
      <c r="F31" t="inlineStr">
        <is>
          <t>Stockist</t>
        </is>
      </c>
      <c r="G31" t="inlineStr">
        <is>
          <t>Pop Daddy locator</t>
        </is>
      </c>
      <c r="H31" t="inlineStr">
        <is>
          <t>4 PD items</t>
        </is>
      </c>
      <c r="J31" t="inlineStr">
        <is>
          <t>~$4.50–$6 (est.)</t>
        </is>
      </c>
    </row>
    <row r="32">
      <c r="A32" t="n">
        <v>30</v>
      </c>
      <c r="B32" t="inlineStr">
        <is>
          <t>KROGER</t>
        </is>
      </c>
      <c r="C32" t="inlineStr">
        <is>
          <t>8920 W 8 Mile Road, Royal oak twp., MI 48220</t>
        </is>
      </c>
      <c r="D32" t="n">
        <v>7.2</v>
      </c>
      <c r="F32" t="inlineStr">
        <is>
          <t>Stockist</t>
        </is>
      </c>
      <c r="G32" t="inlineStr">
        <is>
          <t>Pop Daddy locator</t>
        </is>
      </c>
      <c r="H32" t="inlineStr">
        <is>
          <t>4 PD items</t>
        </is>
      </c>
      <c r="J32" t="inlineStr">
        <is>
          <t>~$4.50–$6 (est.)</t>
        </is>
      </c>
    </row>
    <row r="33">
      <c r="A33" t="n">
        <v>31</v>
      </c>
      <c r="B33" t="inlineStr">
        <is>
          <t>Western Market</t>
        </is>
      </c>
      <c r="C33" t="inlineStr">
        <is>
          <t>447 W Nine Mile Rd, Ferndale, MI 48220</t>
        </is>
      </c>
      <c r="D33" t="n">
        <v>7.2</v>
      </c>
      <c r="E33" t="inlineStr">
        <is>
          <t>(248) 546-7288</t>
        </is>
      </c>
      <c r="F33" t="inlineStr">
        <is>
          <t>Stockist</t>
        </is>
      </c>
      <c r="G33" t="inlineStr">
        <is>
          <t>Pop Daddy locator</t>
        </is>
      </c>
      <c r="H33" t="inlineStr">
        <is>
          <t>4 PD items · also Germack</t>
        </is>
      </c>
      <c r="J33" t="inlineStr">
        <is>
          <t>~$4.50–$6 (est.)</t>
        </is>
      </c>
    </row>
    <row r="34">
      <c r="A34" t="n">
        <v>32</v>
      </c>
      <c r="B34" t="inlineStr">
        <is>
          <t>KROGER</t>
        </is>
      </c>
      <c r="C34" t="inlineStr">
        <is>
          <t>28250 Dequindre Road, Warren, MI 48092</t>
        </is>
      </c>
      <c r="D34" t="n">
        <v>7.8</v>
      </c>
      <c r="F34" t="inlineStr">
        <is>
          <t>Stockist</t>
        </is>
      </c>
      <c r="G34" t="inlineStr">
        <is>
          <t>Pop Daddy locator</t>
        </is>
      </c>
      <c r="H34" t="inlineStr">
        <is>
          <t>4 PD items</t>
        </is>
      </c>
      <c r="J34" t="inlineStr">
        <is>
          <t>~$4.50–$6 (est.)</t>
        </is>
      </c>
    </row>
    <row r="35">
      <c r="A35" t="n">
        <v>33</v>
      </c>
      <c r="B35" t="inlineStr">
        <is>
          <t>KROGER</t>
        </is>
      </c>
      <c r="C35" t="inlineStr">
        <is>
          <t>31200 Schoenherr Road, Warren, MI 48092</t>
        </is>
      </c>
      <c r="D35" t="n">
        <v>7.8</v>
      </c>
      <c r="F35" t="inlineStr">
        <is>
          <t>Stockist</t>
        </is>
      </c>
      <c r="G35" t="inlineStr">
        <is>
          <t>Pop Daddy locator</t>
        </is>
      </c>
      <c r="H35" t="inlineStr">
        <is>
          <t>4 PD items</t>
        </is>
      </c>
      <c r="J35" t="inlineStr">
        <is>
          <t>~$4.50–$6 (est.)</t>
        </is>
      </c>
    </row>
    <row r="36">
      <c r="A36" t="n">
        <v>34</v>
      </c>
      <c r="B36" t="inlineStr">
        <is>
          <t>Sheetz</t>
        </is>
      </c>
      <c r="C36" t="inlineStr">
        <is>
          <t>5920 12 Mile Rd, Warren, MI 48092</t>
        </is>
      </c>
      <c r="D36" t="n">
        <v>7.8</v>
      </c>
      <c r="E36" t="inlineStr">
        <is>
          <t>(586) 434-4349</t>
        </is>
      </c>
      <c r="F36" t="inlineStr">
        <is>
          <t>Stockist</t>
        </is>
      </c>
      <c r="G36" t="inlineStr">
        <is>
          <t>Pop Daddy locator</t>
        </is>
      </c>
      <c r="H36" t="inlineStr">
        <is>
          <t>2 PD items</t>
        </is>
      </c>
      <c r="J36" t="inlineStr">
        <is>
          <t>~$4.50–$6 (est.)</t>
        </is>
      </c>
    </row>
    <row r="37">
      <c r="A37" t="n">
        <v>35</v>
      </c>
      <c r="B37" t="inlineStr">
        <is>
          <t>Simon Express Market&amp;Meal</t>
        </is>
      </c>
      <c r="C37" t="inlineStr">
        <is>
          <t>31025 Ryan Road, Warren, MI 48092</t>
        </is>
      </c>
      <c r="D37" t="n">
        <v>7.8</v>
      </c>
      <c r="F37" t="inlineStr">
        <is>
          <t>Stockist</t>
        </is>
      </c>
      <c r="G37" t="inlineStr">
        <is>
          <t>Pop Daddy locator</t>
        </is>
      </c>
      <c r="H37" t="inlineStr">
        <is>
          <t>1 PD items</t>
        </is>
      </c>
      <c r="J37" t="inlineStr">
        <is>
          <t>~$4.50–$6 (est.)</t>
        </is>
      </c>
    </row>
    <row r="38">
      <c r="A38" t="n">
        <v>36</v>
      </c>
      <c r="B38" t="inlineStr">
        <is>
          <t>KROGER</t>
        </is>
      </c>
      <c r="C38" t="inlineStr">
        <is>
          <t>23101 John R Road, Hazel park, MI 48030</t>
        </is>
      </c>
      <c r="D38" t="n">
        <v>8.300000000000001</v>
      </c>
      <c r="F38" t="inlineStr">
        <is>
          <t>Stockist</t>
        </is>
      </c>
      <c r="G38" t="inlineStr">
        <is>
          <t>Pop Daddy locator</t>
        </is>
      </c>
      <c r="H38" t="inlineStr">
        <is>
          <t>4 PD items</t>
        </is>
      </c>
      <c r="J38" t="inlineStr">
        <is>
          <t>~$4.50–$6 (est.)</t>
        </is>
      </c>
    </row>
    <row r="39">
      <c r="A39" t="n">
        <v>37</v>
      </c>
      <c r="B39" t="inlineStr">
        <is>
          <t>KROGER</t>
        </is>
      </c>
      <c r="C39" t="inlineStr">
        <is>
          <t>25780 Middlebelt Road, Farmington hills, MI 48336</t>
        </is>
      </c>
      <c r="D39" t="n">
        <v>9.6</v>
      </c>
      <c r="F39" t="inlineStr">
        <is>
          <t>Stockist</t>
        </is>
      </c>
      <c r="G39" t="inlineStr">
        <is>
          <t>Pop Daddy locator</t>
        </is>
      </c>
      <c r="H39" t="inlineStr">
        <is>
          <t>4 PD items</t>
        </is>
      </c>
      <c r="J39" t="inlineStr">
        <is>
          <t>~$4.50–$6 (est.)</t>
        </is>
      </c>
    </row>
    <row r="40"/>
    <row r="41">
      <c r="A41" s="3" t="inlineStr">
        <is>
          <t>PRICE COMPARISON (cheapest first, from public listings 10/26/2026; shipping and tax not included)</t>
        </is>
      </c>
    </row>
    <row r="42">
      <c r="B42" s="2" t="inlineStr">
        <is>
          <t>Option</t>
        </is>
      </c>
      <c r="C42" s="2" t="inlineStr">
        <is>
          <t>Pack size</t>
        </is>
      </c>
      <c r="D42" s="2" t="inlineStr">
        <is>
          <t>Price</t>
        </is>
      </c>
      <c r="E42" s="2" t="inlineStr">
        <is>
          <t>Per unit</t>
        </is>
      </c>
      <c r="F42" s="2" t="inlineStr">
        <is>
          <t>Notes</t>
        </is>
      </c>
      <c r="G42" s="2" t="inlineStr">
        <is>
          <t>Link</t>
        </is>
      </c>
    </row>
    <row r="43">
      <c r="B43" s="4" t="inlineStr">
        <is>
          <t>World Market</t>
        </is>
      </c>
      <c r="C43" s="4" t="inlineStr">
        <is>
          <t>7.5 oz</t>
        </is>
      </c>
      <c r="D43" s="4" t="inlineStr">
        <is>
          <t>$4.79</t>
        </is>
      </c>
      <c r="E43" s="4" t="inlineStr">
        <is>
          <t>$4.79/bag</t>
        </is>
      </c>
      <c r="F43" s="4" t="inlineStr">
        <is>
          <t>CHEAPEST retail found</t>
        </is>
      </c>
      <c r="G43" s="4" t="inlineStr">
        <is>
          <t>https://www.worldmarket.com/p/pop-daddy-dill-pickle-pretzel-sticks-636887.html</t>
        </is>
      </c>
    </row>
    <row r="44">
      <c r="B44" t="inlineStr">
        <is>
          <t>Pop Daddy direct, single</t>
        </is>
      </c>
      <c r="C44" t="inlineStr">
        <is>
          <t>7.5 oz</t>
        </is>
      </c>
      <c r="D44" t="inlineStr">
        <is>
          <t>$5.00</t>
        </is>
      </c>
      <c r="E44" t="inlineStr">
        <is>
          <t>$5.00/bag</t>
        </is>
      </c>
      <c r="G44" t="inlineStr">
        <is>
          <t>https://popdaddysnacks.com/products/pop-daddy-dill-pickle-seasoned-pretzels-7-5oz</t>
        </is>
      </c>
    </row>
    <row r="45">
      <c r="B45" t="inlineStr">
        <is>
          <t>Provisions co-op wholesale</t>
        </is>
      </c>
      <c r="C45" t="inlineStr">
        <is>
          <t>case of 12</t>
        </is>
      </c>
      <c r="D45" t="inlineStr">
        <is>
          <t>$3.40/bag</t>
        </is>
      </c>
      <c r="E45" t="inlineStr">
        <is>
          <t>$3.40/bag</t>
        </is>
      </c>
      <c r="F45" t="inlineStr">
        <is>
          <t>Co-op members only; shows what wholesale costs</t>
        </is>
      </c>
      <c r="G45" t="inlineStr">
        <is>
          <t>https://featherriver.provisions.coop/products/pop-daddy-dill-pickle-4293-9tymax</t>
        </is>
      </c>
    </row>
    <row r="46">
      <c r="B46" t="inlineStr">
        <is>
          <t>Pop Daddy direct “CASE”</t>
        </is>
      </c>
      <c r="C46" t="inlineStr">
        <is>
          <t>≈12 bags (by weight)</t>
        </is>
      </c>
      <c r="D46" t="inlineStr">
        <is>
          <t>$100.00</t>
        </is>
      </c>
      <c r="E46" t="inlineStr">
        <is>
          <t>≈ $8.33/bag</t>
        </is>
      </c>
      <c r="F46" t="inlineStr">
        <is>
          <t>AVOID: costs more per bag than buying singles</t>
        </is>
      </c>
      <c r="G46" t="inlineStr">
        <is>
          <t>https://popdaddysnacks.com/pages/pop-daddy-for-wholesalers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40" customWidth="1" min="3" max="3"/>
    <col width="10" customWidth="1" min="4" max="4"/>
    <col width="16" customWidth="1" min="5" max="5"/>
    <col width="16" customWidth="1" min="6" max="6"/>
    <col width="16" customWidth="1" min="7" max="7"/>
    <col width="52" customWidth="1" min="8" max="8"/>
    <col width="40" customWidth="1" min="9" max="9"/>
    <col width="30" customWidth="1" min="10" max="10"/>
  </cols>
  <sheetData>
    <row r="1" ht="60" customHeight="1">
      <c r="A1" s="1" t="inlineStr">
        <is>
          <t>Kar’s Sweet ’N Salty, 2 oz. Costco sells the 24-count box. Single bags are at most groceries and party stores; the party stores below are likely, not verified.</t>
        </is>
      </c>
    </row>
    <row r="2">
      <c r="A2" s="2" t="inlineStr">
        <is>
          <t>#</t>
        </is>
      </c>
      <c r="B2" s="2" t="inlineStr">
        <is>
          <t>Place</t>
        </is>
      </c>
      <c r="C2" s="2" t="inlineStr">
        <is>
          <t>Address</t>
        </is>
      </c>
      <c r="D2" s="2" t="inlineStr">
        <is>
          <t>Miles from Birmingham</t>
        </is>
      </c>
      <c r="E2" s="2" t="inlineStr">
        <is>
          <t>Phone</t>
        </is>
      </c>
      <c r="F2" s="2" t="inlineStr">
        <is>
          <t>Type</t>
        </is>
      </c>
      <c r="G2" s="2" t="inlineStr">
        <is>
          <t>Confidence</t>
        </is>
      </c>
      <c r="H2" s="2" t="inlineStr">
        <is>
          <t>Notes</t>
        </is>
      </c>
      <c r="I2" s="2" t="inlineStr">
        <is>
          <t>Link</t>
        </is>
      </c>
      <c r="J2" s="2" t="inlineStr">
        <is>
          <t>Est. price</t>
        </is>
      </c>
    </row>
    <row r="3">
      <c r="A3" t="n">
        <v>1</v>
      </c>
      <c r="B3" t="inlineStr">
        <is>
          <t>Costco Madison Heights</t>
        </is>
      </c>
      <c r="C3" t="inlineStr">
        <is>
          <t>30550 Stephenson Hwy, Madison Heights</t>
        </is>
      </c>
      <c r="D3" t="n">
        <v>6.3</v>
      </c>
      <c r="E3" t="inlineStr">
        <is>
          <t>(248) 616-0048</t>
        </is>
      </c>
      <c r="F3" t="inlineStr">
        <is>
          <t>Club / bulk</t>
        </is>
      </c>
      <c r="G3" t="inlineStr">
        <is>
          <t>Online listing</t>
        </is>
      </c>
      <c r="H3" t="inlineStr">
        <is>
          <t>24 ct × 2 oz (item 411389) ≈ $11; check warehouse stock.</t>
        </is>
      </c>
      <c r="I3" t="inlineStr">
        <is>
          <t>https://www.costco.com/.product.411389.html</t>
        </is>
      </c>
      <c r="J3" t="inlineStr">
        <is>
          <t>≈ $0.46/bag (24-pk ~$11)</t>
        </is>
      </c>
    </row>
    <row r="4">
      <c r="A4" s="6" t="n">
        <v>2</v>
      </c>
      <c r="B4" s="6" t="inlineStr">
        <is>
          <t>Kroger</t>
        </is>
      </c>
      <c r="C4" s="6" t="inlineStr">
        <is>
          <t>685 E Maple Rd, Birmingham</t>
        </is>
      </c>
      <c r="D4" s="6" t="n">
        <v>0.2</v>
      </c>
      <c r="E4" s="6" t="n"/>
      <c r="F4" s="6" t="inlineStr">
        <is>
          <t>Grocery</t>
        </is>
      </c>
      <c r="G4" s="6" t="inlineStr">
        <is>
          <t>Likely</t>
        </is>
      </c>
      <c r="H4" s="6" t="inlineStr">
        <is>
          <t>Single bags.</t>
        </is>
      </c>
      <c r="I4" s="6" t="n"/>
      <c r="J4" s="6" t="inlineStr">
        <is>
          <t>~$1–$1.50 (est.)</t>
        </is>
      </c>
    </row>
    <row r="5">
      <c r="A5" t="n">
        <v>3</v>
      </c>
      <c r="B5" t="inlineStr">
        <is>
          <t>Kar’s Nuts HQ</t>
        </is>
      </c>
      <c r="C5" t="inlineStr">
        <is>
          <t>1200 E 14 Mile Rd, Madison Heights</t>
        </is>
      </c>
      <c r="D5" t="n">
        <v>6.3</v>
      </c>
      <c r="F5" t="inlineStr">
        <is>
          <t>Wholesale (ask)</t>
        </is>
      </c>
      <c r="G5" t="inlineStr">
        <is>
          <t>HQ</t>
        </is>
      </c>
      <c r="H5" t="inlineStr">
        <is>
          <t>No outlet store confirmed.</t>
        </is>
      </c>
      <c r="I5" t="inlineStr">
        <is>
          <t>https://karsnuts.com</t>
        </is>
      </c>
      <c r="J5" t="inlineStr">
        <is>
          <t>Wholesale (ask)</t>
        </is>
      </c>
    </row>
    <row r="6">
      <c r="A6" t="n">
        <v>4</v>
      </c>
      <c r="B6" t="inlineStr">
        <is>
          <t>Home Depot (online)</t>
        </is>
      </c>
      <c r="C6" t="inlineStr">
        <is>
          <t>Ship to store</t>
        </is>
      </c>
      <c r="F6" t="inlineStr">
        <is>
          <t>Online bulk</t>
        </is>
      </c>
      <c r="G6" t="inlineStr">
        <is>
          <t>Listed</t>
        </is>
      </c>
      <c r="H6" t="inlineStr">
        <is>
          <t>24-ct caddy ≈ $21.98.</t>
        </is>
      </c>
      <c r="I6" t="inlineStr">
        <is>
          <t>https://www.homedepot.com/p/Kar-s-2-oz-Packets-Sweet-N-Salty-Mix-Nuts-Caddy-24-Box-AVTSN08387/320270957</t>
        </is>
      </c>
      <c r="J6" t="inlineStr">
        <is>
          <t>≈ $0.92/bag</t>
        </is>
      </c>
    </row>
    <row r="7">
      <c r="A7" s="6" t="n">
        <v>5</v>
      </c>
      <c r="B7" s="6" t="inlineStr">
        <is>
          <t>Beverage Warehouse</t>
        </is>
      </c>
      <c r="C7" s="6" t="inlineStr">
        <is>
          <t>31111 Greenfield, Beverly Hills MI 48009</t>
        </is>
      </c>
      <c r="D7" s="6" t="n">
        <v>0.2</v>
      </c>
      <c r="E7" s="6" t="n"/>
      <c r="F7" s="6" t="inlineStr">
        <is>
          <t>Party store</t>
        </is>
      </c>
      <c r="G7" s="6" t="inlineStr">
        <is>
          <t>Likely</t>
        </is>
      </c>
      <c r="H7" s="6" t="n"/>
      <c r="I7" s="6" t="n"/>
      <c r="J7" s="6" t="inlineStr">
        <is>
          <t>~$1–$2 (est.)</t>
        </is>
      </c>
    </row>
    <row r="8">
      <c r="A8" s="6" t="n">
        <v>6</v>
      </c>
      <c r="B8" s="6" t="inlineStr">
        <is>
          <t>Troy Cheese &amp; Wine Barn</t>
        </is>
      </c>
      <c r="C8" s="6" t="inlineStr">
        <is>
          <t>2558 E. Maple, Troy MI 48084</t>
        </is>
      </c>
      <c r="D8" s="6" t="n">
        <v>1.9</v>
      </c>
      <c r="E8" s="6" t="n"/>
      <c r="F8" s="6" t="inlineStr">
        <is>
          <t>Party store</t>
        </is>
      </c>
      <c r="G8" s="6" t="inlineStr">
        <is>
          <t>Likely</t>
        </is>
      </c>
      <c r="H8" s="6" t="n"/>
      <c r="I8" s="6" t="n"/>
      <c r="J8" s="6" t="inlineStr">
        <is>
          <t>~$1–$2 (est.)</t>
        </is>
      </c>
    </row>
    <row r="9">
      <c r="A9" s="6" t="n">
        <v>7</v>
      </c>
      <c r="B9" s="6" t="inlineStr">
        <is>
          <t>BLOOMFIELD MOBIL</t>
        </is>
      </c>
      <c r="C9" s="6" t="inlineStr">
        <is>
          <t>1501 SOUTH OPDYKE RD, BLOOMFIELD TWP MI 48304</t>
        </is>
      </c>
      <c r="D9" s="6" t="n">
        <v>3.1</v>
      </c>
      <c r="E9" s="6" t="n"/>
      <c r="F9" s="6" t="inlineStr">
        <is>
          <t>Party store</t>
        </is>
      </c>
      <c r="G9" s="6" t="inlineStr">
        <is>
          <t>Likely</t>
        </is>
      </c>
      <c r="H9" s="6" t="n"/>
      <c r="I9" s="6" t="n"/>
      <c r="J9" s="6" t="inlineStr">
        <is>
          <t>~$1–$2 (est.)</t>
        </is>
      </c>
    </row>
    <row r="10">
      <c r="A10" s="6" t="n">
        <v>8</v>
      </c>
      <c r="B10" s="6" t="inlineStr">
        <is>
          <t>Campbell Party Store</t>
        </is>
      </c>
      <c r="C10" s="6" t="inlineStr">
        <is>
          <t>3321 Campbell, Royal Oak MI 48073</t>
        </is>
      </c>
      <c r="D10" s="6" t="n">
        <v>3.4</v>
      </c>
      <c r="E10" s="6" t="n"/>
      <c r="F10" s="6" t="inlineStr">
        <is>
          <t>Party store</t>
        </is>
      </c>
      <c r="G10" s="6" t="inlineStr">
        <is>
          <t>Likely</t>
        </is>
      </c>
      <c r="H10" s="6" t="n"/>
      <c r="I10" s="6" t="n"/>
      <c r="J10" s="6" t="inlineStr">
        <is>
          <t>~$1–$2 (est.)</t>
        </is>
      </c>
    </row>
    <row r="11">
      <c r="A11" s="6" t="n">
        <v>9</v>
      </c>
      <c r="B11" s="6" t="inlineStr">
        <is>
          <t>MOBIL - TELEGRAPH</t>
        </is>
      </c>
      <c r="C11" s="6" t="inlineStr">
        <is>
          <t>6490 TELEGRAPH RD, BLOOMFIELD HILLS MI 48301</t>
        </is>
      </c>
      <c r="D11" s="6" t="n">
        <v>3.5</v>
      </c>
      <c r="E11" s="6" t="n"/>
      <c r="F11" s="6" t="inlineStr">
        <is>
          <t>Party store</t>
        </is>
      </c>
      <c r="G11" s="6" t="inlineStr">
        <is>
          <t>Likely</t>
        </is>
      </c>
      <c r="H11" s="6" t="n"/>
      <c r="I11" s="6" t="n"/>
      <c r="J11" s="6" t="inlineStr">
        <is>
          <t>~$1–$2 (est.)</t>
        </is>
      </c>
    </row>
    <row r="12">
      <c r="A12" s="6" t="n">
        <v>10</v>
      </c>
      <c r="B12" s="6" t="inlineStr">
        <is>
          <t>Shell _Bloomfield - Barbat</t>
        </is>
      </c>
      <c r="C12" s="6" t="inlineStr">
        <is>
          <t>3690 W Maple, West Bloomfiled MI 48301</t>
        </is>
      </c>
      <c r="D12" s="6" t="n">
        <v>3.5</v>
      </c>
      <c r="E12" s="6" t="n"/>
      <c r="F12" s="6" t="inlineStr">
        <is>
          <t>Party store</t>
        </is>
      </c>
      <c r="G12" s="6" t="inlineStr">
        <is>
          <t>Likely</t>
        </is>
      </c>
      <c r="H12" s="6" t="n"/>
      <c r="I12" s="6" t="n"/>
      <c r="J12" s="6" t="inlineStr">
        <is>
          <t>~$1–$2 (est.)</t>
        </is>
      </c>
    </row>
    <row r="13">
      <c r="A13" s="6" t="n">
        <v>11</v>
      </c>
      <c r="B13" s="6" t="inlineStr">
        <is>
          <t>Manny's Liquor</t>
        </is>
      </c>
      <c r="C13" s="6" t="inlineStr">
        <is>
          <t>42951 Dequindre, Troy MI 48098</t>
        </is>
      </c>
      <c r="D13" s="6" t="n">
        <v>4</v>
      </c>
      <c r="E13" s="6" t="n"/>
      <c r="F13" s="6" t="inlineStr">
        <is>
          <t>Party store</t>
        </is>
      </c>
      <c r="G13" s="6" t="inlineStr">
        <is>
          <t>Likely</t>
        </is>
      </c>
      <c r="H13" s="6" t="n"/>
      <c r="I13" s="6" t="n"/>
      <c r="J13" s="6" t="inlineStr">
        <is>
          <t>~$1–$2 (est.)</t>
        </is>
      </c>
    </row>
    <row r="14">
      <c r="A14" s="6" t="n">
        <v>12</v>
      </c>
      <c r="B14" s="6" t="inlineStr">
        <is>
          <t>Bloomfield Wine &amp; Spirits</t>
        </is>
      </c>
      <c r="C14" s="6" t="inlineStr">
        <is>
          <t>1081 W. Long Lake Road, Bloomfield Hills MI 48302</t>
        </is>
      </c>
      <c r="D14" s="6" t="n">
        <v>4.5</v>
      </c>
      <c r="E14" s="6" t="n"/>
      <c r="F14" s="6" t="inlineStr">
        <is>
          <t>Party store</t>
        </is>
      </c>
      <c r="G14" s="6" t="inlineStr">
        <is>
          <t>Likely</t>
        </is>
      </c>
      <c r="H14" s="6" t="n"/>
      <c r="I14" s="6" t="n"/>
      <c r="J14" s="6" t="inlineStr">
        <is>
          <t>~$1–$2 (est.)</t>
        </is>
      </c>
    </row>
    <row r="15"/>
    <row r="16">
      <c r="A16" s="3" t="inlineStr">
        <is>
          <t>PRICE COMPARISON (cheapest first, from public listings 10/26/2026; shipping and tax not included)</t>
        </is>
      </c>
    </row>
    <row r="17">
      <c r="B17" s="2" t="inlineStr">
        <is>
          <t>Option</t>
        </is>
      </c>
      <c r="C17" s="2" t="inlineStr">
        <is>
          <t>Pack size</t>
        </is>
      </c>
      <c r="D17" s="2" t="inlineStr">
        <is>
          <t>Price</t>
        </is>
      </c>
      <c r="E17" s="2" t="inlineStr">
        <is>
          <t>Per unit</t>
        </is>
      </c>
      <c r="F17" s="2" t="inlineStr">
        <is>
          <t>Notes</t>
        </is>
      </c>
      <c r="G17" s="2" t="inlineStr">
        <is>
          <t>Link</t>
        </is>
      </c>
    </row>
    <row r="18">
      <c r="B18" s="4" t="inlineStr">
        <is>
          <t>Sam’s Club 40-pack</t>
        </is>
      </c>
      <c r="C18" s="4" t="inlineStr">
        <is>
          <t>40 × 2 oz</t>
        </is>
      </c>
      <c r="D18" s="4" t="inlineStr">
        <is>
          <t>$17.48</t>
        </is>
      </c>
      <c r="E18" s="4" t="inlineStr">
        <is>
          <t>≈ $0.44/bag</t>
        </is>
      </c>
      <c r="F18" s="4" t="inlineStr">
        <is>
          <t>CHEAPEST</t>
        </is>
      </c>
      <c r="G18" s="4" t="inlineStr">
        <is>
          <t>https://www.samsclub.com/ip/Kar-s-Sweet-n-Salty-Trail-Mix-2-oz-40-pk/7703408821</t>
        </is>
      </c>
    </row>
    <row r="19">
      <c r="B19" t="inlineStr">
        <is>
          <t>Costco 24-pack (item 411389)</t>
        </is>
      </c>
      <c r="C19" t="inlineStr">
        <is>
          <t>24 × 2 oz</t>
        </is>
      </c>
      <c r="D19" t="inlineStr">
        <is>
          <t>≈ $10.99–$11.49</t>
        </is>
      </c>
      <c r="E19" t="inlineStr">
        <is>
          <t>≈ $0.46/bag</t>
        </is>
      </c>
      <c r="F19" t="inlineStr">
        <is>
          <t>Third-party price tracker</t>
        </is>
      </c>
      <c r="G19" t="inlineStr">
        <is>
          <t>https://app.warehouserunner.com/costco/411389</t>
        </is>
      </c>
    </row>
    <row r="20">
      <c r="B20" t="inlineStr">
        <is>
          <t>Walmart 24-pack</t>
        </is>
      </c>
      <c r="C20" t="inlineStr">
        <is>
          <t>24 × 2 oz</t>
        </is>
      </c>
      <c r="D20" t="inlineStr">
        <is>
          <t>$19.99</t>
        </is>
      </c>
      <c r="E20" t="inlineStr">
        <is>
          <t>≈ $0.83/bag</t>
        </is>
      </c>
      <c r="G20" t="inlineStr">
        <is>
          <t>https://www.walmart.com/ip/Kar-s-Nuts-Caddy-Sweet-N-Salty-Mix-2-oz-Packets-24-Box-Each/1857595784</t>
        </is>
      </c>
    </row>
    <row r="21">
      <c r="B21" t="inlineStr">
        <is>
          <t>Home Depot 24-pack</t>
        </is>
      </c>
      <c r="C21" t="inlineStr">
        <is>
          <t>24 × 2 oz</t>
        </is>
      </c>
      <c r="D21" t="inlineStr">
        <is>
          <t>$21.98</t>
        </is>
      </c>
      <c r="E21" t="inlineStr">
        <is>
          <t>≈ $0.92/bag</t>
        </is>
      </c>
    </row>
    <row r="22">
      <c r="B22" t="inlineStr">
        <is>
          <t>Staples 24-pack</t>
        </is>
      </c>
      <c r="C22" t="inlineStr">
        <is>
          <t>24 × 2 oz</t>
        </is>
      </c>
      <c r="D22" t="inlineStr">
        <is>
          <t>$27.99</t>
        </is>
      </c>
      <c r="E22" t="inlineStr">
        <is>
          <t>≈ $1.17/bag</t>
        </is>
      </c>
      <c r="G22" t="inlineStr">
        <is>
          <t>https://www.staples.com/kar-s-gluten-free-sweet-n-salty-snack-mix-2-oz-24-bags-pack-kar08387/product_495720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40" customWidth="1" min="3" max="3"/>
    <col width="10" customWidth="1" min="4" max="4"/>
    <col width="16" customWidth="1" min="5" max="5"/>
    <col width="16" customWidth="1" min="6" max="6"/>
    <col width="16" customWidth="1" min="7" max="7"/>
    <col width="52" customWidth="1" min="8" max="8"/>
    <col width="40" customWidth="1" min="9" max="9"/>
    <col width="30" customWidth="1" min="10" max="10"/>
  </cols>
  <sheetData>
    <row r="1" ht="60" customHeight="1">
      <c r="A1" s="1" t="inlineStr">
        <is>
          <t>Faygo Rock &amp; Rye, 12 oz can. Widely stocked. Use the Faygo store locator (choose Rock &amp; Rye, enter 48009) to confirm a store.</t>
        </is>
      </c>
    </row>
    <row r="2">
      <c r="A2" s="2" t="inlineStr">
        <is>
          <t>#</t>
        </is>
      </c>
      <c r="B2" s="2" t="inlineStr">
        <is>
          <t>Place</t>
        </is>
      </c>
      <c r="C2" s="2" t="inlineStr">
        <is>
          <t>Address</t>
        </is>
      </c>
      <c r="D2" s="2" t="inlineStr">
        <is>
          <t>Miles from Birmingham</t>
        </is>
      </c>
      <c r="E2" s="2" t="inlineStr">
        <is>
          <t>Phone</t>
        </is>
      </c>
      <c r="F2" s="2" t="inlineStr">
        <is>
          <t>Type</t>
        </is>
      </c>
      <c r="G2" s="2" t="inlineStr">
        <is>
          <t>Confidence</t>
        </is>
      </c>
      <c r="H2" s="2" t="inlineStr">
        <is>
          <t>Notes</t>
        </is>
      </c>
      <c r="I2" s="2" t="inlineStr">
        <is>
          <t>Link</t>
        </is>
      </c>
      <c r="J2" s="2" t="inlineStr">
        <is>
          <t>Est. price</t>
        </is>
      </c>
    </row>
    <row r="3">
      <c r="A3" s="6" t="n">
        <v>1</v>
      </c>
      <c r="B3" s="6" t="inlineStr">
        <is>
          <t>Kroger</t>
        </is>
      </c>
      <c r="C3" s="6" t="inlineStr">
        <is>
          <t>685 E Maple Rd, Birmingham</t>
        </is>
      </c>
      <c r="D3" s="6" t="n">
        <v>0.2</v>
      </c>
      <c r="E3" s="6" t="n"/>
      <c r="F3" s="6" t="inlineStr">
        <is>
          <t>Grocery</t>
        </is>
      </c>
      <c r="G3" s="6" t="inlineStr">
        <is>
          <t>Likely</t>
        </is>
      </c>
      <c r="H3" s="6" t="n"/>
      <c r="I3" s="6" t="n"/>
      <c r="J3" s="6" t="inlineStr">
        <is>
          <t>~$1–$1.25/can in 12-pk (est.)</t>
        </is>
      </c>
    </row>
    <row r="4">
      <c r="A4" t="n">
        <v>2</v>
      </c>
      <c r="B4" t="inlineStr">
        <is>
          <t>The Detroit Shoppe</t>
        </is>
      </c>
      <c r="C4" t="inlineStr">
        <is>
          <t>Somerset Collection, 2800 W Big Beaver Rd, Troy</t>
        </is>
      </c>
      <c r="D4" t="n">
        <v>1.9</v>
      </c>
      <c r="F4" t="inlineStr">
        <is>
          <t>Gift shop</t>
        </is>
      </c>
      <c r="G4" t="inlineStr">
        <is>
          <t>Reported</t>
        </is>
      </c>
      <c r="H4" t="inlineStr">
        <is>
          <t>Carries 7 Faygo flavors.</t>
        </is>
      </c>
      <c r="I4" t="inlineStr">
        <is>
          <t>https://www.tripadvisor.com/Attraction_Review-g42763-d2639679-Reviews-The_Detroit_Shoppe-Troy_Michigan.html</t>
        </is>
      </c>
      <c r="J4" t="inlineStr">
        <is>
          <t>~$2–$3/can (est.)</t>
        </is>
      </c>
    </row>
    <row r="5">
      <c r="A5" t="n">
        <v>3</v>
      </c>
      <c r="B5" t="inlineStr">
        <is>
          <t>Walmart Troy</t>
        </is>
      </c>
      <c r="C5" t="inlineStr">
        <is>
          <t>2001 W Maple Rd, Troy</t>
        </is>
      </c>
      <c r="D5" t="n">
        <v>1.9</v>
      </c>
      <c r="E5" t="inlineStr">
        <is>
          <t>248-435-4035</t>
        </is>
      </c>
      <c r="F5" t="inlineStr">
        <is>
          <t>Big box</t>
        </is>
      </c>
      <c r="G5" t="inlineStr">
        <is>
          <t>Listed online</t>
        </is>
      </c>
      <c r="H5" t="inlineStr">
        <is>
          <t>Rock &amp; Rye 12-pack 12 oz cans.</t>
        </is>
      </c>
      <c r="J5" t="inlineStr">
        <is>
          <t>~$1/can in store (est.)</t>
        </is>
      </c>
    </row>
    <row r="6">
      <c r="A6" s="6" t="n">
        <v>4</v>
      </c>
      <c r="B6" s="6" t="inlineStr">
        <is>
          <t>Kroger</t>
        </is>
      </c>
      <c r="C6" s="6" t="inlineStr">
        <is>
          <t>1237 Coolidge Hwy, Troy</t>
        </is>
      </c>
      <c r="D6" s="6" t="n">
        <v>1.9</v>
      </c>
      <c r="E6" s="6" t="n"/>
      <c r="F6" s="6" t="inlineStr">
        <is>
          <t>Grocery</t>
        </is>
      </c>
      <c r="G6" s="6" t="inlineStr">
        <is>
          <t>Likely</t>
        </is>
      </c>
      <c r="H6" s="6" t="n"/>
      <c r="I6" s="6" t="n"/>
      <c r="J6" s="6" t="inlineStr">
        <is>
          <t>~$1–$1.25/can in 12-pk (est.)</t>
        </is>
      </c>
    </row>
    <row r="7">
      <c r="A7" t="n">
        <v>5</v>
      </c>
      <c r="B7" t="inlineStr">
        <is>
          <t>Faygo store locator</t>
        </is>
      </c>
      <c r="C7" t="inlineStr">
        <is>
          <t>Online</t>
        </is>
      </c>
      <c r="F7" t="inlineStr">
        <is>
          <t>Locator</t>
        </is>
      </c>
      <c r="G7" t="inlineStr">
        <is>
          <t>Official</t>
        </is>
      </c>
      <c r="I7" t="inlineStr">
        <is>
          <t>https://www.faygo.com/store-locator</t>
        </is>
      </c>
      <c r="J7" t="inlineStr">
        <is>
          <t>—</t>
        </is>
      </c>
    </row>
    <row r="8">
      <c r="A8" t="n">
        <v>6</v>
      </c>
      <c r="B8" t="inlineStr">
        <is>
          <t>Faygo Beverages HQ &amp; plant</t>
        </is>
      </c>
      <c r="C8" t="inlineStr">
        <is>
          <t>3579 Gratiot Ave, Detroit</t>
        </is>
      </c>
      <c r="D8" t="n">
        <v>16</v>
      </c>
      <c r="E8" t="inlineStr">
        <is>
          <t>(313) 925-1600</t>
        </is>
      </c>
      <c r="F8" t="inlineStr">
        <is>
          <t>Direct (ask)</t>
        </is>
      </c>
      <c r="G8" t="inlineStr">
        <is>
          <t>HQ</t>
        </is>
      </c>
      <c r="H8" t="inlineStr">
        <is>
          <t>Ask about buying cases direct; no public counter confirmed.</t>
        </is>
      </c>
      <c r="J8" t="inlineStr">
        <is>
          <t>Ask</t>
        </is>
      </c>
    </row>
    <row r="9">
      <c r="A9" s="6" t="n">
        <v>7</v>
      </c>
      <c r="B9" s="6" t="inlineStr">
        <is>
          <t>Beverage Warehouse</t>
        </is>
      </c>
      <c r="C9" s="6" t="inlineStr">
        <is>
          <t>31111 Greenfield, Beverly Hills MI 48009</t>
        </is>
      </c>
      <c r="D9" s="6" t="n">
        <v>0.2</v>
      </c>
      <c r="E9" s="6" t="n"/>
      <c r="F9" s="6" t="inlineStr">
        <is>
          <t>Party store</t>
        </is>
      </c>
      <c r="G9" s="6" t="inlineStr">
        <is>
          <t>Likely</t>
        </is>
      </c>
      <c r="H9" s="6" t="n"/>
      <c r="I9" s="6" t="n"/>
      <c r="J9" s="6" t="inlineStr">
        <is>
          <t>~$1.50–$2.50/can (est.)</t>
        </is>
      </c>
    </row>
    <row r="10">
      <c r="A10" s="6" t="n">
        <v>8</v>
      </c>
      <c r="B10" s="6" t="inlineStr">
        <is>
          <t>Troy Cheese &amp; Wine Barn</t>
        </is>
      </c>
      <c r="C10" s="6" t="inlineStr">
        <is>
          <t>2558 E. Maple, Troy MI 48084</t>
        </is>
      </c>
      <c r="D10" s="6" t="n">
        <v>1.9</v>
      </c>
      <c r="E10" s="6" t="n"/>
      <c r="F10" s="6" t="inlineStr">
        <is>
          <t>Party store</t>
        </is>
      </c>
      <c r="G10" s="6" t="inlineStr">
        <is>
          <t>Likely</t>
        </is>
      </c>
      <c r="H10" s="6" t="n"/>
      <c r="I10" s="6" t="n"/>
      <c r="J10" s="6" t="inlineStr">
        <is>
          <t>~$1.50–$2.50/can (est.)</t>
        </is>
      </c>
    </row>
    <row r="11">
      <c r="A11" s="6" t="n">
        <v>9</v>
      </c>
      <c r="B11" s="6" t="inlineStr">
        <is>
          <t>BLOOMFIELD MOBIL</t>
        </is>
      </c>
      <c r="C11" s="6" t="inlineStr">
        <is>
          <t>1501 SOUTH OPDYKE RD, BLOOMFIELD TWP MI 48304</t>
        </is>
      </c>
      <c r="D11" s="6" t="n">
        <v>3.1</v>
      </c>
      <c r="E11" s="6" t="n"/>
      <c r="F11" s="6" t="inlineStr">
        <is>
          <t>Party store</t>
        </is>
      </c>
      <c r="G11" s="6" t="inlineStr">
        <is>
          <t>Likely</t>
        </is>
      </c>
      <c r="H11" s="6" t="n"/>
      <c r="I11" s="6" t="n"/>
      <c r="J11" s="6" t="inlineStr">
        <is>
          <t>~$1.50–$2.50/can (est.)</t>
        </is>
      </c>
    </row>
    <row r="12">
      <c r="A12" s="6" t="n">
        <v>10</v>
      </c>
      <c r="B12" s="6" t="inlineStr">
        <is>
          <t>Campbell Party Store</t>
        </is>
      </c>
      <c r="C12" s="6" t="inlineStr">
        <is>
          <t>3321 Campbell, Royal Oak MI 48073</t>
        </is>
      </c>
      <c r="D12" s="6" t="n">
        <v>3.4</v>
      </c>
      <c r="E12" s="6" t="n"/>
      <c r="F12" s="6" t="inlineStr">
        <is>
          <t>Party store</t>
        </is>
      </c>
      <c r="G12" s="6" t="inlineStr">
        <is>
          <t>Likely</t>
        </is>
      </c>
      <c r="H12" s="6" t="n"/>
      <c r="I12" s="6" t="n"/>
      <c r="J12" s="6" t="inlineStr">
        <is>
          <t>~$1.50–$2.50/can (est.)</t>
        </is>
      </c>
    </row>
    <row r="13">
      <c r="A13" s="6" t="n">
        <v>11</v>
      </c>
      <c r="B13" s="6" t="inlineStr">
        <is>
          <t>MOBIL - TELEGRAPH</t>
        </is>
      </c>
      <c r="C13" s="6" t="inlineStr">
        <is>
          <t>6490 TELEGRAPH RD, BLOOMFIELD HILLS MI 48301</t>
        </is>
      </c>
      <c r="D13" s="6" t="n">
        <v>3.5</v>
      </c>
      <c r="E13" s="6" t="n"/>
      <c r="F13" s="6" t="inlineStr">
        <is>
          <t>Party store</t>
        </is>
      </c>
      <c r="G13" s="6" t="inlineStr">
        <is>
          <t>Likely</t>
        </is>
      </c>
      <c r="H13" s="6" t="n"/>
      <c r="I13" s="6" t="n"/>
      <c r="J13" s="6" t="inlineStr">
        <is>
          <t>~$1.50–$2.50/can (est.)</t>
        </is>
      </c>
    </row>
    <row r="14">
      <c r="A14" s="6" t="n">
        <v>12</v>
      </c>
      <c r="B14" s="6" t="inlineStr">
        <is>
          <t>Shell _Bloomfield - Barbat</t>
        </is>
      </c>
      <c r="C14" s="6" t="inlineStr">
        <is>
          <t>3690 W Maple, West Bloomfiled MI 48301</t>
        </is>
      </c>
      <c r="D14" s="6" t="n">
        <v>3.5</v>
      </c>
      <c r="E14" s="6" t="n"/>
      <c r="F14" s="6" t="inlineStr">
        <is>
          <t>Party store</t>
        </is>
      </c>
      <c r="G14" s="6" t="inlineStr">
        <is>
          <t>Likely</t>
        </is>
      </c>
      <c r="H14" s="6" t="n"/>
      <c r="I14" s="6" t="n"/>
      <c r="J14" s="6" t="inlineStr">
        <is>
          <t>~$1.50–$2.50/can (est.)</t>
        </is>
      </c>
    </row>
    <row r="15">
      <c r="A15" s="6" t="n">
        <v>13</v>
      </c>
      <c r="B15" s="6" t="inlineStr">
        <is>
          <t>Manny's Liquor</t>
        </is>
      </c>
      <c r="C15" s="6" t="inlineStr">
        <is>
          <t>42951 Dequindre, Troy MI 48098</t>
        </is>
      </c>
      <c r="D15" s="6" t="n">
        <v>4</v>
      </c>
      <c r="E15" s="6" t="n"/>
      <c r="F15" s="6" t="inlineStr">
        <is>
          <t>Party store</t>
        </is>
      </c>
      <c r="G15" s="6" t="inlineStr">
        <is>
          <t>Likely</t>
        </is>
      </c>
      <c r="H15" s="6" t="n"/>
      <c r="I15" s="6" t="n"/>
      <c r="J15" s="6" t="inlineStr">
        <is>
          <t>~$1.50–$2.50/can (est.)</t>
        </is>
      </c>
    </row>
    <row r="16">
      <c r="A16" s="6" t="n">
        <v>14</v>
      </c>
      <c r="B16" s="6" t="inlineStr">
        <is>
          <t>Bloomfield Wine &amp; Spirits</t>
        </is>
      </c>
      <c r="C16" s="6" t="inlineStr">
        <is>
          <t>1081 W. Long Lake Road, Bloomfield Hills MI 48302</t>
        </is>
      </c>
      <c r="D16" s="6" t="n">
        <v>4.5</v>
      </c>
      <c r="E16" s="6" t="n"/>
      <c r="F16" s="6" t="inlineStr">
        <is>
          <t>Party store</t>
        </is>
      </c>
      <c r="G16" s="6" t="inlineStr">
        <is>
          <t>Likely</t>
        </is>
      </c>
      <c r="H16" s="6" t="n"/>
      <c r="I16" s="6" t="n"/>
      <c r="J16" s="6" t="inlineStr">
        <is>
          <t>~$1.50–$2.50/can (est.)</t>
        </is>
      </c>
    </row>
    <row r="17"/>
    <row r="18">
      <c r="A18" s="3" t="inlineStr">
        <is>
          <t>PRICE COMPARISON (cheapest first, from public listings 10/26/2026; shipping and tax not included)</t>
        </is>
      </c>
    </row>
    <row r="19">
      <c r="B19" s="2" t="inlineStr">
        <is>
          <t>Option</t>
        </is>
      </c>
      <c r="C19" s="2" t="inlineStr">
        <is>
          <t>Pack size</t>
        </is>
      </c>
      <c r="D19" s="2" t="inlineStr">
        <is>
          <t>Price</t>
        </is>
      </c>
      <c r="E19" s="2" t="inlineStr">
        <is>
          <t>Per unit</t>
        </is>
      </c>
      <c r="F19" s="2" t="inlineStr">
        <is>
          <t>Notes</t>
        </is>
      </c>
      <c r="G19" s="2" t="inlineStr">
        <is>
          <t>Link</t>
        </is>
      </c>
    </row>
    <row r="20">
      <c r="B20" t="inlineStr">
        <is>
          <t>Kroger / Meijer in-store 12-pack</t>
        </is>
      </c>
      <c r="C20" t="inlineStr">
        <is>
          <t>12 × 12 oz</t>
        </is>
      </c>
      <c r="D20" t="inlineStr">
        <is>
          <t>check app</t>
        </is>
      </c>
      <c r="E20" t="inlineStr">
        <is>
          <t>—</t>
        </is>
      </c>
      <c r="F20" t="inlineStr">
        <is>
          <t>Likely cheapest; no posted price found. Check the Kroger app for 685 E Maple.</t>
        </is>
      </c>
    </row>
    <row r="21">
      <c r="B21" t="inlineStr">
        <is>
          <t>Walmart marketplace 12-pack</t>
        </is>
      </c>
      <c r="C21" t="inlineStr">
        <is>
          <t>12 × 12 oz</t>
        </is>
      </c>
      <c r="D21" t="inlineStr">
        <is>
          <t>≈ $24.47</t>
        </is>
      </c>
      <c r="E21" t="inlineStr">
        <is>
          <t>≈ $2.04/can</t>
        </is>
      </c>
      <c r="F21" t="inlineStr">
        <is>
          <t>Marked-up third-party seller; avoid</t>
        </is>
      </c>
      <c r="G21" t="inlineStr">
        <is>
          <t>https://www.walmart.com/ip/seort/631284437</t>
        </is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40" customWidth="1" min="3" max="3"/>
    <col width="10" customWidth="1" min="4" max="4"/>
    <col width="16" customWidth="1" min="5" max="5"/>
    <col width="16" customWidth="1" min="6" max="6"/>
    <col width="16" customWidth="1" min="7" max="7"/>
    <col width="52" customWidth="1" min="8" max="8"/>
    <col width="40" customWidth="1" min="9" max="9"/>
    <col width="30" customWidth="1" min="10" max="10"/>
  </cols>
  <sheetData>
    <row r="1" ht="60" customHeight="1">
      <c r="A1" s="1" t="inlineStr">
        <is>
          <t>Greetings from Detroit card, 5 × 7. Paper Source is the closest blank-card option. For cards by Detroit artists, or a custom printed run, go to Detroit.</t>
        </is>
      </c>
    </row>
    <row r="2">
      <c r="A2" s="2" t="inlineStr">
        <is>
          <t>#</t>
        </is>
      </c>
      <c r="B2" s="2" t="inlineStr">
        <is>
          <t>Place</t>
        </is>
      </c>
      <c r="C2" s="2" t="inlineStr">
        <is>
          <t>Address</t>
        </is>
      </c>
      <c r="D2" s="2" t="inlineStr">
        <is>
          <t>Miles from Birmingham</t>
        </is>
      </c>
      <c r="E2" s="2" t="inlineStr">
        <is>
          <t>Phone</t>
        </is>
      </c>
      <c r="F2" s="2" t="inlineStr">
        <is>
          <t>Type</t>
        </is>
      </c>
      <c r="G2" s="2" t="inlineStr">
        <is>
          <t>Confidence</t>
        </is>
      </c>
      <c r="H2" s="2" t="inlineStr">
        <is>
          <t>Notes</t>
        </is>
      </c>
      <c r="I2" s="2" t="inlineStr">
        <is>
          <t>Link</t>
        </is>
      </c>
      <c r="J2" s="2" t="inlineStr">
        <is>
          <t>Est. price</t>
        </is>
      </c>
    </row>
    <row r="3">
      <c r="A3" t="n">
        <v>1</v>
      </c>
      <c r="B3" t="inlineStr">
        <is>
          <t>Paper Source</t>
        </is>
      </c>
      <c r="C3" t="inlineStr">
        <is>
          <t>115 W Maple Rd, Birmingham</t>
        </is>
      </c>
      <c r="D3" t="n">
        <v>0.2</v>
      </c>
      <c r="F3" t="inlineStr">
        <is>
          <t>Stationery (chain)</t>
        </is>
      </c>
      <c r="G3" t="inlineStr">
        <is>
          <t>Listed</t>
        </is>
      </c>
      <c r="H3" t="inlineStr">
        <is>
          <t>Blank 5×7 cards and envelopes.</t>
        </is>
      </c>
      <c r="I3" t="inlineStr">
        <is>
          <t>https://birmingham-mi.yiftee.com/business/paper-source-473129</t>
        </is>
      </c>
      <c r="J3" t="inlineStr">
        <is>
          <t>~$5–$8 (est.)</t>
        </is>
      </c>
    </row>
    <row r="4">
      <c r="A4" t="n">
        <v>2</v>
      </c>
      <c r="B4" t="inlineStr">
        <is>
          <t>Write Impressions</t>
        </is>
      </c>
      <c r="C4" t="inlineStr">
        <is>
          <t>Royal Oak</t>
        </is>
      </c>
      <c r="D4" t="n">
        <v>5.4</v>
      </c>
      <c r="F4" t="inlineStr">
        <is>
          <t>Stationery</t>
        </is>
      </c>
      <c r="G4" t="inlineStr">
        <is>
          <t>Listed</t>
        </is>
      </c>
      <c r="H4" t="inlineStr">
        <is>
          <t>Stationery shop since 1989.</t>
        </is>
      </c>
      <c r="J4" t="inlineStr">
        <is>
          <t>~$5–$8 (est.)</t>
        </is>
      </c>
    </row>
    <row r="5">
      <c r="A5" t="n">
        <v>3</v>
      </c>
      <c r="B5" t="inlineStr">
        <is>
          <t>City Bird</t>
        </is>
      </c>
      <c r="C5" t="inlineStr">
        <is>
          <t>460 W Canfield St, Detroit</t>
        </is>
      </c>
      <c r="D5" t="n">
        <v>15.8</v>
      </c>
      <c r="E5" t="inlineStr">
        <is>
          <t>313-831-9146</t>
        </is>
      </c>
      <c r="F5" t="inlineStr">
        <is>
          <t>Local-artist shop</t>
        </is>
      </c>
      <c r="G5" t="inlineStr">
        <is>
          <t>Confirmed</t>
        </is>
      </c>
      <c r="H5" t="inlineStr">
        <is>
          <t>100+ Detroit/Michigan-themed cards.</t>
        </is>
      </c>
      <c r="I5" t="inlineStr">
        <is>
          <t>https://visitdetroit.com/directory/city-bird/</t>
        </is>
      </c>
      <c r="J5" t="inlineStr">
        <is>
          <t>~$5–$8 (est.)</t>
        </is>
      </c>
    </row>
    <row r="6">
      <c r="A6" t="n">
        <v>4</v>
      </c>
      <c r="B6" t="inlineStr">
        <is>
          <t>Signal Return (letterpress)</t>
        </is>
      </c>
      <c r="C6" t="inlineStr">
        <is>
          <t>Kercheval Ave, Detroit (verify)</t>
        </is>
      </c>
      <c r="F6" t="inlineStr">
        <is>
          <t>Custom printing</t>
        </is>
      </c>
      <c r="G6" t="inlineStr">
        <is>
          <t>Listed</t>
        </is>
      </c>
      <c r="H6" t="inlineStr">
        <is>
          <t>Custom letterpress cards.</t>
        </is>
      </c>
      <c r="J6" t="inlineStr">
        <is>
          <t>Quote</t>
        </is>
      </c>
    </row>
    <row r="7">
      <c r="A7" t="n">
        <v>5</v>
      </c>
      <c r="B7" t="inlineStr">
        <is>
          <t>Vesey Lane Goods</t>
        </is>
      </c>
      <c r="C7" t="inlineStr">
        <is>
          <t>9920 Kercheval Ave, Detroit</t>
        </is>
      </c>
      <c r="F7" t="inlineStr">
        <is>
          <t>Local makers</t>
        </is>
      </c>
      <c r="G7" t="inlineStr">
        <is>
          <t>Listed</t>
        </is>
      </c>
      <c r="J7" t="inlineStr">
        <is>
          <t>~$5–$8 (est.)</t>
        </is>
      </c>
    </row>
    <row r="8">
      <c r="A8" t="n">
        <v>6</v>
      </c>
      <c r="B8" t="inlineStr">
        <is>
          <t>Pure Detroit</t>
        </is>
      </c>
      <c r="C8" t="inlineStr">
        <is>
          <t>70 W Alexandrine St, Detroit</t>
        </is>
      </c>
      <c r="F8" t="inlineStr">
        <is>
          <t>Detroit goods</t>
        </is>
      </c>
      <c r="G8" t="inlineStr">
        <is>
          <t>Listed</t>
        </is>
      </c>
      <c r="J8" t="inlineStr">
        <is>
          <t>~$5–$8 (est.)</t>
        </is>
      </c>
    </row>
    <row r="9"/>
    <row r="10">
      <c r="A10" s="3" t="inlineStr">
        <is>
          <t>PRICE COMPARISON (cheapest first, from public listings 10/26/2026; shipping and tax not included)</t>
        </is>
      </c>
    </row>
    <row r="11">
      <c r="B11" s="2" t="inlineStr">
        <is>
          <t>Option</t>
        </is>
      </c>
      <c r="C11" s="2" t="inlineStr">
        <is>
          <t>Pack size</t>
        </is>
      </c>
      <c r="D11" s="2" t="inlineStr">
        <is>
          <t>Price</t>
        </is>
      </c>
      <c r="E11" s="2" t="inlineStr">
        <is>
          <t>Per unit</t>
        </is>
      </c>
      <c r="F11" s="2" t="inlineStr">
        <is>
          <t>Notes</t>
        </is>
      </c>
      <c r="G11" s="2" t="inlineStr">
        <is>
          <t>Link</t>
        </is>
      </c>
    </row>
    <row r="12">
      <c r="B12" t="inlineStr">
        <is>
          <t>Custom printed run (letterpress/print shop)</t>
        </is>
      </c>
      <c r="C12" t="inlineStr">
        <is>
          <t>per quote</t>
        </is>
      </c>
      <c r="D12" t="inlineStr">
        <is>
          <t>get quotes</t>
        </is>
      </c>
      <c r="E12" t="inlineStr">
        <is>
          <t>—</t>
        </is>
      </c>
      <c r="F12" t="inlineStr">
        <is>
          <t>Likely cheapest per card at volume; no prices found</t>
        </is>
      </c>
    </row>
    <row r="13">
      <c r="B13" t="inlineStr">
        <is>
          <t>Paper Source / City Bird single cards</t>
        </is>
      </c>
      <c r="C13" t="inlineStr">
        <is>
          <t>1</t>
        </is>
      </c>
      <c r="D13" t="inlineStr">
        <is>
          <t>in store</t>
        </is>
      </c>
      <c r="E13" t="inlineStr">
        <is>
          <t>—</t>
        </is>
      </c>
      <c r="F13" t="inlineStr">
        <is>
          <t>No prices found online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2026-10-26T16:45:37Z</dcterms:created>
  <dcterms:modified xmlns:dcterms="http://purl.org/dc/terms/" xmlns:xsi="http://www.w3.org/2001/XMLSchema-instance" xsi:type="dcterms:W3CDTF">2026-10-26T17:17:29Z</dcterms:modified>
</cp:coreProperties>
</file>