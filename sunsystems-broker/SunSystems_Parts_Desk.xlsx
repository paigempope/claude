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Settings" sheetId="3" state="visible" r:id="rId5"/>
    <sheet name="Quote Calc" sheetId="4" state="visible" r:id="rId6"/>
    <sheet name="RFQ Log" sheetId="5" state="visible" r:id="rId7"/>
    <sheet name="Suppliers" sheetId="6" state="visible" r:id="rId8"/>
    <sheet name="Customers" sheetId="7" state="visible" r:id="rId9"/>
  </sheets>
  <definedNames>
    <definedName function="false" hidden="true" localSheetId="4" name="_xlnm._FilterDatabase" vbProcedure="false">'RFQ Log'!$A$4:$V$304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2" authorId="0">
      <text>
        <r>
          <rPr>
            <sz val="10"/>
            <rFont val="Arial"/>
            <family val="2"/>
          </rPr>
          <t xml:space="preserve">1 = Suggested quote (tiers)
2 = Price at target margin
3 = My own price (E33)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Everything that's a cost to you besides the part itself: inbound + outbound shipping, hazmat, cert fees, packaging.</t>
        </r>
      </text>
    </comment>
    <comment ref="N4" authorId="0">
      <text>
        <r>
          <rPr>
            <sz val="10"/>
            <rFont val="Arial"/>
            <family val="2"/>
          </rPr>
          <t xml:space="preserve">Leave blank to send the Suggested Quote. Type a number to override (e.g. you know the customer's other quote).</t>
        </r>
      </text>
    </comment>
    <comment ref="P4" authorId="0">
      <text>
        <r>
          <rPr>
            <sz val="10"/>
            <rFont val="Arial"/>
            <family val="2"/>
          </rPr>
          <t xml:space="preserve">Price × (1 − card fee %) − landed cost.</t>
        </r>
      </text>
    </comment>
  </commentList>
</comments>
</file>

<file path=xl/sharedStrings.xml><?xml version="1.0" encoding="utf-8"?>
<sst xmlns="http://schemas.openxmlformats.org/spreadsheetml/2006/main" count="294" uniqueCount="256">
  <si>
    <t xml:space="preserve">SunSystems Parts Desk</t>
  </si>
  <si>
    <t xml:space="preserve">Someone needs a part. You know where to get it. This workbook turns that into money, every time.</t>
  </si>
  <si>
    <t xml:space="preserve">THE SYSTEM (input → process → output)</t>
  </si>
  <si>
    <t xml:space="preserve">Input</t>
  </si>
  <si>
    <t xml:space="preserve">A request comes in: part number / spec, quantity, needed-by date. Log it in RFQ Log the same day.</t>
  </si>
  <si>
    <t xml:space="preserve">Process</t>
  </si>
  <si>
    <t xml:space="preserve">Find it, get the supplier's price + shipping, let the sheet compute the quote, send it, collect payment, place the order.</t>
  </si>
  <si>
    <t xml:space="preserve">Output</t>
  </si>
  <si>
    <t xml:space="preserve">Profit. Dashboard shows what you've made, what's in play, and who you owe a follow-up.</t>
  </si>
  <si>
    <t xml:space="preserve">Your edge</t>
  </si>
  <si>
    <t xml:space="preserve">You know where parts live. The customer is paying for your knowledge + time + risk, not for the part. Price accordingly.</t>
  </si>
  <si>
    <t xml:space="preserve">THE 7 STEPS FOR EVERY REQUEST</t>
  </si>
  <si>
    <t xml:space="preserve">1. Intake  (New)</t>
  </si>
  <si>
    <t xml:space="preserve">Get EXACT part #, revision, spec, qty, needed-by date, ship-to. A photo of the nameplate/old part beats a description. Log it.</t>
  </si>
  <si>
    <t xml:space="preserve">2. Source  (Sourcing)</t>
  </si>
  <si>
    <t xml:space="preserve">Call 1–3 suppliers. Write down unit cost, shipping, lead time. Pick one. Enter cost in RFQ Log.</t>
  </si>
  <si>
    <t xml:space="preserve">3. Quote  (Quoted)</t>
  </si>
  <si>
    <t xml:space="preserve">Sheet computes Suggested Quote. Override in 'Your Quote' if you know the market. Send a written quote (template in the guide) valid for 7 days.</t>
  </si>
  <si>
    <t xml:space="preserve">4. Close  (Won)</t>
  </si>
  <si>
    <t xml:space="preserve">Customer says yes IN WRITING (email/text is fine). Collect payment or deposit BEFORE you buy.</t>
  </si>
  <si>
    <t xml:space="preserve">5. Order  (Ordered)</t>
  </si>
  <si>
    <t xml:space="preserve">Buy from supplier. Ship direct to the customer when possible (drop-ship) so you never touch inventory.</t>
  </si>
  <si>
    <t xml:space="preserve">6. Deliver (Shipped)</t>
  </si>
  <si>
    <t xml:space="preserve">Send tracking to customer. Confirm it arrived and is the right part.</t>
  </si>
  <si>
    <t xml:space="preserve">7. Get paid (Paid)</t>
  </si>
  <si>
    <t xml:space="preserve">Collect the balance. Enter Date Paid. Profit now shows on the Dashboard.</t>
  </si>
  <si>
    <t xml:space="preserve">NON-NEGOTIABLE RULES</t>
  </si>
  <si>
    <t xml:space="preserve">Money first</t>
  </si>
  <si>
    <t xml:space="preserve">Never pay a supplier with your own money before the customer has paid (or paid a deposit that covers your cost). This one rule prevents most losses.</t>
  </si>
  <si>
    <t xml:space="preserve">In writing</t>
  </si>
  <si>
    <t xml:space="preserve">Every quote, every yes, every spec confirmation: text or email. 'Yes, part #XYZ rev C qty 4 at $X' is your contract.</t>
  </si>
  <si>
    <t xml:space="preserve">Exact match</t>
  </si>
  <si>
    <t xml:space="preserve">Wrong part = you eat the return shipping + restocking fee. Confirm part #, revision, voltage, thread, material — whatever matters — before ordering.</t>
  </si>
  <si>
    <t xml:space="preserve">Protect the source</t>
  </si>
  <si>
    <t xml:space="preserve">Don't name your supplier to the customer. Drop-ship with a neutral packing slip when possible. Your contacts are the business.</t>
  </si>
  <si>
    <t xml:space="preserve">Mirror the returns policy</t>
  </si>
  <si>
    <t xml:space="preserve">Your return terms can't be better than your supplier's. If they charge 20% restocking, so do you.</t>
  </si>
  <si>
    <t xml:space="preserve">Min profit floor</t>
  </si>
  <si>
    <t xml:space="preserve">Small orders still cost you an hour. Settings tab enforces a minimum profit per deal (default $50).</t>
  </si>
  <si>
    <t xml:space="preserve">HOW TO READ THIS WORKBOOK</t>
  </si>
  <si>
    <t xml:space="preserve">Yellow cell, blue text</t>
  </si>
  <si>
    <t xml:space="preserve">INPUT — you type here.</t>
  </si>
  <si>
    <t xml:space="preserve">Black text</t>
  </si>
  <si>
    <t xml:space="preserve">FORMULA — don't type over it. It's computed.</t>
  </si>
  <si>
    <t xml:space="preserve">Green text</t>
  </si>
  <si>
    <t xml:space="preserve">Pulled from another tab.</t>
  </si>
  <si>
    <t xml:space="preserve">Rows marked (example)</t>
  </si>
  <si>
    <t xml:space="preserve">Sample data so you can see how it works. Delete or overwrite them when you start.</t>
  </si>
  <si>
    <t xml:space="preserve">THE TABS</t>
  </si>
  <si>
    <t xml:space="preserve">Settings</t>
  </si>
  <si>
    <t xml:space="preserve">Your pricing rules: markup tiers by order size, minimum profit, card-fee %, rounding, follow-up days. Change once, every quote follows.</t>
  </si>
  <si>
    <t xml:space="preserve">Quote Calc</t>
  </si>
  <si>
    <t xml:space="preserve">Scratchpad for building one multi-line quote. Gives suggested price, price at a target margin, per-unit customer prices.</t>
  </si>
  <si>
    <t xml:space="preserve">RFQ Log</t>
  </si>
  <si>
    <t xml:space="preserve">The core. One row per request. Track it from New to Paid. Profit, margin, and follow-up dates compute automatically.</t>
  </si>
  <si>
    <t xml:space="preserve">Suppliers</t>
  </si>
  <si>
    <t xml:space="preserve">Your black book. Who carries what, lead times, terms, how reliable they are, how many deals you've done with them.</t>
  </si>
  <si>
    <t xml:space="preserve">Customers</t>
  </si>
  <si>
    <t xml:space="preserve">Who asks, how they found you, what they've bought, what they're worth to you.</t>
  </si>
  <si>
    <t xml:space="preserve">Dashboard</t>
  </si>
  <si>
    <t xml:space="preserve">Profit collected, profit in play, win rate, overdue follow-ups, profit by month.</t>
  </si>
  <si>
    <t xml:space="preserve">MARKUP vs MARGIN (the engineer's footnote)</t>
  </si>
  <si>
    <t xml:space="preserve">Markup</t>
  </si>
  <si>
    <t xml:space="preserve">Profit ÷ Cost.   Cost $100, sell $125 → 25% markup.</t>
  </si>
  <si>
    <t xml:space="preserve">Margin</t>
  </si>
  <si>
    <t xml:space="preserve">Profit ÷ Price.  Same deal → $25 ÷ $125 = 20% margin.</t>
  </si>
  <si>
    <t xml:space="preserve">Conversion</t>
  </si>
  <si>
    <t xml:space="preserve">margin = markup ÷ (1 + markup).   markup = margin ÷ (1 − margin).   See the table on the Quote Calc tab.</t>
  </si>
  <si>
    <t xml:space="preserve">Card fees</t>
  </si>
  <si>
    <t xml:space="preserve">If the customer pays by card you lose ~3% of the PRICE. The sheet grosses the quote up so that fee comes out of their price, not your profit.</t>
  </si>
  <si>
    <t xml:space="preserve">MONEY</t>
  </si>
  <si>
    <t xml:space="preserve">PIPELINE BY STATUS</t>
  </si>
  <si>
    <t xml:space="preserve">Profit collected (Paid)</t>
  </si>
  <si>
    <t xml:space="preserve">Status</t>
  </si>
  <si>
    <t xml:space="preserve">Count</t>
  </si>
  <si>
    <t xml:space="preserve">Price sent ($)</t>
  </si>
  <si>
    <t xml:space="preserve">Revenue collected (Paid)</t>
  </si>
  <si>
    <t xml:space="preserve">New</t>
  </si>
  <si>
    <t xml:space="preserve">Average margin on paid deals</t>
  </si>
  <si>
    <t xml:space="preserve">Sourcing</t>
  </si>
  <si>
    <t xml:space="preserve">Profit in play (Won/Ordered/Shipped)</t>
  </si>
  <si>
    <t xml:space="preserve">Quoted</t>
  </si>
  <si>
    <t xml:space="preserve">Profit on the table (Quoted)</t>
  </si>
  <si>
    <t xml:space="preserve">Won</t>
  </si>
  <si>
    <t xml:space="preserve">Profit this month (by Date Paid)</t>
  </si>
  <si>
    <t xml:space="preserve">Ordered</t>
  </si>
  <si>
    <t xml:space="preserve">Shipped</t>
  </si>
  <si>
    <t xml:space="preserve">ACTIVITY</t>
  </si>
  <si>
    <t xml:space="preserve">Paid</t>
  </si>
  <si>
    <t xml:space="preserve">Total requests logged</t>
  </si>
  <si>
    <t xml:space="preserve">Lost</t>
  </si>
  <si>
    <t xml:space="preserve">Win rate (won ÷ decided)</t>
  </si>
  <si>
    <t xml:space="preserve">Open requests (New/Sourcing/Quoted)</t>
  </si>
  <si>
    <t xml:space="preserve">FOLLOW-UPS DUE NOW</t>
  </si>
  <si>
    <t xml:space="preserve">Shipped, waiting on payment</t>
  </si>
  <si>
    <t xml:space="preserve">PROFIT BY MONTH (this year, by Date Paid)</t>
  </si>
  <si>
    <t xml:space="preserve">Month</t>
  </si>
  <si>
    <t xml:space="preserve">Profit ($)</t>
  </si>
  <si>
    <t xml:space="preserve">Settings — your pricing rules</t>
  </si>
  <si>
    <t xml:space="preserve">Change the yellow cells. Every formula in the workbook reads from here.</t>
  </si>
  <si>
    <t xml:space="preserve">Setting</t>
  </si>
  <si>
    <t xml:space="preserve">Value</t>
  </si>
  <si>
    <t xml:space="preserve">What it does</t>
  </si>
  <si>
    <t xml:space="preserve">Payment processing fee %</t>
  </si>
  <si>
    <t xml:space="preserve">Card/online invoice fee taken from the price (Stripe/Square/QuickBooks ≈ 2.9–3.5%). Set 0 if paid by check/ACH/cash. Assumption — check your processor.</t>
  </si>
  <si>
    <t xml:space="preserve">Minimum profit per deal ($)</t>
  </si>
  <si>
    <t xml:space="preserve">Floor so tiny orders are still worth your time. Assumption — set to what an hour of your time is worth.</t>
  </si>
  <si>
    <t xml:space="preserve">Round quotes UP to nearest ($)</t>
  </si>
  <si>
    <t xml:space="preserve">Clean numbers look professional and add a little cushion. Use 1 for no rounding.</t>
  </si>
  <si>
    <t xml:space="preserve">Quote valid for (days)</t>
  </si>
  <si>
    <t xml:space="preserve">Put this on every quote. Supplier prices move; don't get stuck honoring an old one.</t>
  </si>
  <si>
    <t xml:space="preserve">Follow up after (days)</t>
  </si>
  <si>
    <t xml:space="preserve">RFQ Log flags the follow-up date this many days after a request comes in.</t>
  </si>
  <si>
    <t xml:space="preserve">Deposit required before ordering %</t>
  </si>
  <si>
    <t xml:space="preserve">Minimum up-front payment before you buy. Must at least cover your landed cost. 100% for new customers is reasonable.</t>
  </si>
  <si>
    <t xml:space="preserve">Markup tiers — bigger orders, smaller %</t>
  </si>
  <si>
    <t xml:space="preserve">Landed cost from ($)</t>
  </si>
  <si>
    <t xml:space="preserve">Markup %</t>
  </si>
  <si>
    <t xml:space="preserve">Why</t>
  </si>
  <si>
    <t xml:space="preserve">Small one-off parts: your time is most of the value.</t>
  </si>
  <si>
    <t xml:space="preserve">Typical repair/replacement order.</t>
  </si>
  <si>
    <t xml:space="preserve">Mid-size: customer is more likely to shop around.</t>
  </si>
  <si>
    <t xml:space="preserve">Large: still real dollars, keep it competitive.</t>
  </si>
  <si>
    <t xml:space="preserve">Very large: negotiate case by case; this is the floor.</t>
  </si>
  <si>
    <t xml:space="preserve">Tiers are starting-point assumptions, not market data. Keep the 'from' column sorted smallest → largest, starting at 0. If you know the going rate for a part, override the price in RFQ Log.</t>
  </si>
  <si>
    <t xml:space="preserve">Status list (used by dropdowns)</t>
  </si>
  <si>
    <t xml:space="preserve">Request logged</t>
  </si>
  <si>
    <t xml:space="preserve">Hunting for supplier/price</t>
  </si>
  <si>
    <t xml:space="preserve">Quote sent, waiting on customer</t>
  </si>
  <si>
    <t xml:space="preserve">Customer said yes</t>
  </si>
  <si>
    <t xml:space="preserve">You placed the supplier order</t>
  </si>
  <si>
    <t xml:space="preserve">On its way to customer</t>
  </si>
  <si>
    <t xml:space="preserve">Customer paid in full — DONE</t>
  </si>
  <si>
    <t xml:space="preserve">Customer passed / no source</t>
  </si>
  <si>
    <t xml:space="preserve">Quote Calculator — build one quote</t>
  </si>
  <si>
    <t xml:space="preserve">Enter supplier costs in yellow. The sheet tells you what to charge. Copy the green 'Customer price' column into your quote.</t>
  </si>
  <si>
    <t xml:space="preserve">Customer</t>
  </si>
  <si>
    <t xml:space="preserve">Acme Fabrication (example)</t>
  </si>
  <si>
    <t xml:space="preserve">Quote #</t>
  </si>
  <si>
    <t xml:space="preserve">Q-001</t>
  </si>
  <si>
    <t xml:space="preserve">Date</t>
  </si>
  <si>
    <t xml:space="preserve">Valid until</t>
  </si>
  <si>
    <t xml:space="preserve">Part # / Spec</t>
  </si>
  <si>
    <t xml:space="preserve">Description</t>
  </si>
  <si>
    <t xml:space="preserve">Qty</t>
  </si>
  <si>
    <t xml:space="preserve">Supplier unit cost</t>
  </si>
  <si>
    <t xml:space="preserve">Line cost</t>
  </si>
  <si>
    <t xml:space="preserve">Customer unit price</t>
  </si>
  <si>
    <t xml:space="preserve">Customer line total</t>
  </si>
  <si>
    <t xml:space="preserve">6205-2RS</t>
  </si>
  <si>
    <t xml:space="preserve">Sealed ball bearing 25x52x15 (example)</t>
  </si>
  <si>
    <t xml:space="preserve">SC-25-150</t>
  </si>
  <si>
    <t xml:space="preserve">Pneumatic cylinder 25mm bore x 150 stroke (example)</t>
  </si>
  <si>
    <t xml:space="preserve">Parts subtotal</t>
  </si>
  <si>
    <t xml:space="preserve">Inbound shipping (supplier → you)</t>
  </si>
  <si>
    <t xml:space="preserve">0 if drop-shipped</t>
  </si>
  <si>
    <t xml:space="preserve">Outbound shipping (→ customer)</t>
  </si>
  <si>
    <t xml:space="preserve">example</t>
  </si>
  <si>
    <t xml:space="preserve">Other costs (fees, cert, packaging)</t>
  </si>
  <si>
    <t xml:space="preserve">LANDED COST</t>
  </si>
  <si>
    <t xml:space="preserve">Tier markup (from Settings)</t>
  </si>
  <si>
    <t xml:space="preserve">Suggested quote</t>
  </si>
  <si>
    <t xml:space="preserve">tier markup, min-profit floor, card fee covered, rounded up</t>
  </si>
  <si>
    <t xml:space="preserve">OR: target margin %</t>
  </si>
  <si>
    <t xml:space="preserve">what % of the price you want to keep</t>
  </si>
  <si>
    <t xml:space="preserve">Price at target margin</t>
  </si>
  <si>
    <t xml:space="preserve">price = landed ÷ (1 − fee% − margin%)</t>
  </si>
  <si>
    <t xml:space="preserve">Which price? (1 = suggested, 2 = target margin, 3 = my own)</t>
  </si>
  <si>
    <t xml:space="preserve">My own price (if 3)</t>
  </si>
  <si>
    <t xml:space="preserve">only used when 'Which price' = 3</t>
  </si>
  <si>
    <t xml:space="preserve">PRICE TO CUSTOMER</t>
  </si>
  <si>
    <t xml:space="preserve">Card / processing fee</t>
  </si>
  <si>
    <t xml:space="preserve">YOUR PROFIT</t>
  </si>
  <si>
    <t xml:space="preserve">Margin (profit ÷ price)</t>
  </si>
  <si>
    <t xml:space="preserve">Markup (profit ÷ landed cost)</t>
  </si>
  <si>
    <t xml:space="preserve">Deposit to collect before ordering</t>
  </si>
  <si>
    <t xml:space="preserve">at least your landed cost</t>
  </si>
  <si>
    <t xml:space="preserve">Markup ↔ Margin cheat sheet</t>
  </si>
  <si>
    <t xml:space="preserve">→ Margin</t>
  </si>
  <si>
    <t xml:space="preserve">→ Markup</t>
  </si>
  <si>
    <t xml:space="preserve">RFQ Log — every request, New → Paid</t>
  </si>
  <si>
    <t xml:space="preserve">Type in yellow columns only. Leave 'Your Quote' blank to use the Suggested Quote. Fill 'Date Paid' when the money lands — that's what the Dashboard counts.</t>
  </si>
  <si>
    <t xml:space="preserve">ID</t>
  </si>
  <si>
    <t xml:space="preserve">Date In</t>
  </si>
  <si>
    <t xml:space="preserve">Needed By</t>
  </si>
  <si>
    <t xml:space="preserve">Supplier</t>
  </si>
  <si>
    <t xml:space="preserve">Unit Cost ($)</t>
  </si>
  <si>
    <t xml:space="preserve">Shipping + Fees ($)</t>
  </si>
  <si>
    <t xml:space="preserve">Landed Cost ($)</t>
  </si>
  <si>
    <t xml:space="preserve">Tier Markup</t>
  </si>
  <si>
    <t xml:space="preserve">Suggested Quote ($)</t>
  </si>
  <si>
    <t xml:space="preserve">Your Quote ($)</t>
  </si>
  <si>
    <t xml:space="preserve">Price Sent ($)</t>
  </si>
  <si>
    <t xml:space="preserve">Est. Profit ($)</t>
  </si>
  <si>
    <t xml:space="preserve">Follow Up On</t>
  </si>
  <si>
    <t xml:space="preserve">Days Open</t>
  </si>
  <si>
    <t xml:space="preserve">Date Paid</t>
  </si>
  <si>
    <t xml:space="preserve">Notes</t>
  </si>
  <si>
    <t xml:space="preserve">Sealed ball bearing (example)</t>
  </si>
  <si>
    <t xml:space="preserve">Midwest Bearing Supply (example)</t>
  </si>
  <si>
    <t xml:space="preserve">Repeat buyer — ask about monthly stock</t>
  </si>
  <si>
    <t xml:space="preserve">Lakeside Machine Shop (example)</t>
  </si>
  <si>
    <t xml:space="preserve">VFD-7.5HP-480V</t>
  </si>
  <si>
    <t xml:space="preserve">Variable frequency drive (example)</t>
  </si>
  <si>
    <t xml:space="preserve">Great Lakes Industrial (example)</t>
  </si>
  <si>
    <t xml:space="preserve">Customer quoted $1,900 elsewhere; priced under it</t>
  </si>
  <si>
    <t xml:space="preserve">Pneumatic cylinder (example)</t>
  </si>
  <si>
    <t xml:space="preserve">Waiting on PO</t>
  </si>
  <si>
    <t xml:space="preserve">Suppliers — the black book</t>
  </si>
  <si>
    <t xml:space="preserve">Every source you know. 'Deals' and 'Profit' fill in automatically from RFQ Log.</t>
  </si>
  <si>
    <t xml:space="preserve">Contact person</t>
  </si>
  <si>
    <t xml:space="preserve">Phone</t>
  </si>
  <si>
    <t xml:space="preserve">Email</t>
  </si>
  <si>
    <t xml:space="preserve">What they carry</t>
  </si>
  <si>
    <t xml:space="preserve">Lead time (days)</t>
  </si>
  <si>
    <t xml:space="preserve">Payment terms</t>
  </si>
  <si>
    <t xml:space="preserve">Min order / notes</t>
  </si>
  <si>
    <t xml:space="preserve">Drop-ship?</t>
  </si>
  <si>
    <t xml:space="preserve">Rating (1–5)</t>
  </si>
  <si>
    <t xml:space="preserve">Deals</t>
  </si>
  <si>
    <t xml:space="preserve">Profit through them ($)</t>
  </si>
  <si>
    <t xml:space="preserve">Dana</t>
  </si>
  <si>
    <t xml:space="preserve">555-0100</t>
  </si>
  <si>
    <t xml:space="preserve">sales@example.com</t>
  </si>
  <si>
    <t xml:space="preserve">Bearings, seals, belts, PT components</t>
  </si>
  <si>
    <t xml:space="preserve">Net 30 after 1st order</t>
  </si>
  <si>
    <t xml:space="preserve">$50 min</t>
  </si>
  <si>
    <t xml:space="preserve">Yes</t>
  </si>
  <si>
    <t xml:space="preserve">Fast, ask for counter price</t>
  </si>
  <si>
    <t xml:space="preserve">Sam</t>
  </si>
  <si>
    <t xml:space="preserve">555-0144</t>
  </si>
  <si>
    <t xml:space="preserve">quotes@example.com</t>
  </si>
  <si>
    <t xml:space="preserve">Drives, motors, controls</t>
  </si>
  <si>
    <t xml:space="preserve">Prepay</t>
  </si>
  <si>
    <t xml:space="preserve">None</t>
  </si>
  <si>
    <t xml:space="preserve">Call, don't email</t>
  </si>
  <si>
    <t xml:space="preserve">Customers — who needs parts</t>
  </si>
  <si>
    <t xml:space="preserve">Name must match exactly what you pick in RFQ Log. Totals fill in automatically.</t>
  </si>
  <si>
    <t xml:space="preserve">Customer / Company</t>
  </si>
  <si>
    <t xml:space="preserve">How they found you</t>
  </si>
  <si>
    <t xml:space="preserve">Payment terms you give</t>
  </si>
  <si>
    <t xml:space="preserve">Requests</t>
  </si>
  <si>
    <t xml:space="preserve">Win rate</t>
  </si>
  <si>
    <t xml:space="preserve">Revenue paid ($)</t>
  </si>
  <si>
    <t xml:space="preserve">Profit paid ($)</t>
  </si>
  <si>
    <t xml:space="preserve">Jordan</t>
  </si>
  <si>
    <t xml:space="preserve">555-0199</t>
  </si>
  <si>
    <t xml:space="preserve">buyer@example.com</t>
  </si>
  <si>
    <t xml:space="preserve">Referral</t>
  </si>
  <si>
    <t xml:space="preserve">50% deposit</t>
  </si>
  <si>
    <t xml:space="preserve">Maintenance mgr; orders bearings monthly</t>
  </si>
  <si>
    <t xml:space="preserve">Chris</t>
  </si>
  <si>
    <t xml:space="preserve">555-0123</t>
  </si>
  <si>
    <t xml:space="preserve">office@example.com</t>
  </si>
  <si>
    <t xml:space="preserve">Word of mouth</t>
  </si>
  <si>
    <t xml:space="preserve">Downtime-driven — pays for speed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</si>
</sst>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"/>
    <numFmt numFmtId="167" formatCode="\$#,##0;&quot;($&quot;#,##0\);\-"/>
    <numFmt numFmtId="168" formatCode="0.0%;\(0.0%\);\-"/>
    <numFmt numFmtId="169" formatCode="mmm\ yyyy"/>
    <numFmt numFmtId="170" formatCode="\$#,##0"/>
    <numFmt numFmtId="171" formatCode="mmm\ d&quot;, &quot;yyyy"/>
    <numFmt numFmtId="172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8EEF5"/>
        <bgColor rgb="FFE3F2FD"/>
      </patternFill>
    </fill>
    <fill>
      <patternFill patternType="solid">
        <fgColor rgb="FFDFF0D8"/>
        <bgColor rgb="FFE8EEF5"/>
      </patternFill>
    </fill>
    <fill>
      <patternFill patternType="solid">
        <fgColor rgb="FF1F3A5F"/>
        <bgColor rgb="FF333399"/>
      </patternFill>
    </fill>
    <fill>
      <patternFill patternType="solid">
        <fgColor rgb="FFE3F2FD"/>
        <bgColor rgb="FFE8EEF5"/>
      </patternFill>
    </fill>
    <fill>
      <patternFill patternType="solid">
        <fgColor rgb="FFFFF3E0"/>
        <bgColor rgb="FFFFF9C4"/>
      </patternFill>
    </fill>
    <fill>
      <patternFill patternType="solid">
        <fgColor rgb="FFFFF9C4"/>
        <bgColor rgb="FFFFF3E0"/>
      </patternFill>
    </fill>
    <fill>
      <patternFill patternType="solid">
        <fgColor rgb="FFC8E6C9"/>
        <bgColor rgb="FFB2DFDB"/>
      </patternFill>
    </fill>
    <fill>
      <patternFill patternType="solid">
        <fgColor rgb="FFB2DFDB"/>
        <bgColor rgb="FFB3E5FC"/>
      </patternFill>
    </fill>
    <fill>
      <patternFill patternType="solid">
        <fgColor rgb="FFB3E5FC"/>
        <bgColor rgb="FFB2DFDB"/>
      </patternFill>
    </fill>
    <fill>
      <patternFill patternType="solid">
        <fgColor rgb="FFA5D6A7"/>
        <bgColor rgb="FFB2DFDB"/>
      </patternFill>
    </fill>
    <fill>
      <patternFill patternType="solid">
        <fgColor rgb="FFE0E0E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rgb="FFFFCC80"/>
        </patternFill>
      </fill>
    </dxf>
    <dxf>
      <fill>
        <patternFill>
          <bgColor rgb="FFF8D7DA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A5D6A7"/>
          <bgColor rgb="FF000000"/>
        </patternFill>
      </fill>
    </dxf>
    <dxf>
      <fill>
        <patternFill patternType="solid">
          <fgColor rgb="FFB3E5FC"/>
          <bgColor rgb="FF000000"/>
        </patternFill>
      </fill>
    </dxf>
    <dxf>
      <fill>
        <patternFill patternType="solid">
          <fgColor rgb="FFFFCC80"/>
          <bgColor rgb="FF000000"/>
        </patternFill>
      </fill>
    </dxf>
    <dxf>
      <fill>
        <patternFill patternType="solid">
          <fgColor rgb="FF8A4B00"/>
          <bgColor rgb="FF000000"/>
        </patternFill>
      </fill>
    </dxf>
    <dxf>
      <fill>
        <patternFill>
          <bgColor rgb="FFE3F2FD"/>
        </patternFill>
      </fill>
    </dxf>
    <dxf>
      <fill>
        <patternFill>
          <bgColor rgb="FFFFF3E0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  <dxf>
      <fill>
        <patternFill>
          <bgColor rgb="FFB2DFDB"/>
        </patternFill>
      </fill>
    </dxf>
    <dxf>
      <fill>
        <patternFill>
          <bgColor rgb="FFB3E5FC"/>
        </patternFill>
      </fill>
    </dxf>
    <dxf>
      <fill>
        <patternFill>
          <bgColor rgb="FFA5D6A7"/>
        </patternFill>
      </fill>
    </dxf>
    <dxf>
      <fill>
        <patternFill>
          <bgColor rgb="FFE0E0E0"/>
        </patternFill>
      </fill>
    </dxf>
    <dxf>
      <font>
        <name val="Arial"/>
        <charset val="1"/>
        <family val="0"/>
        <b val="1"/>
        <color rgb="FF8A4B00"/>
      </font>
      <fill>
        <patternFill>
          <bgColor rgb="FFFFCC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D6A7"/>
      <rgbColor rgb="FF878787"/>
      <rgbColor rgb="FFB3E5FC"/>
      <rgbColor rgb="FF993366"/>
      <rgbColor rgb="FFFFF9C4"/>
      <rgbColor rgb="FFE3F2FD"/>
      <rgbColor rgb="FF660066"/>
      <rgbColor rgb="FFFF8080"/>
      <rgbColor rgb="FF0066CC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DFF0D8"/>
      <rgbColor rgb="FFFFF3E0"/>
      <rgbColor rgb="FFB2DFDB"/>
      <rgbColor rgb="FFF8D7DA"/>
      <rgbColor rgb="FFD9D9D9"/>
      <rgbColor rgb="FFFFCC80"/>
      <rgbColor rgb="FF3366FF"/>
      <rgbColor rgb="FF33CCCC"/>
      <rgbColor rgb="FF99CC00"/>
      <rgbColor rgb="FFE0E0E0"/>
      <rgbColor rgb="FFFF9900"/>
      <rgbColor rgb="FFFF6600"/>
      <rgbColor rgb="FF666666"/>
      <rgbColor rgb="FFC8E6C9"/>
      <rgbColor rgb="FF1F3A5F"/>
      <rgbColor rgb="FF339966"/>
      <rgbColor rgb="FF003300"/>
      <rgbColor rgb="FF333300"/>
      <rgbColor rgb="FF8A4B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Dashboard!B20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Dashboard!$A$21:$A$32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Dashboard!$B$21:$B$32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9267892"/>
        <c:axId val="38478474"/>
      </c:barChart>
      <c:catAx>
        <c:axId val="89267892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78474"/>
        <c:crosses val="autoZero"/>
        <c:auto val="1"/>
        <c:lblAlgn val="ctr"/>
        <c:lblOffset val="100"/>
        <c:noMultiLvlLbl val="0"/>
      </c:catAx>
      <c:valAx>
        <c:axId val="38478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678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15</xdr:row>
      <xdr:rowOff>213480</xdr:rowOff>
    </xdr:from>
    <xdr:to>
      <xdr:col>9</xdr:col>
      <xdr:colOff>589680</xdr:colOff>
      <xdr:row>31</xdr:row>
      <xdr:rowOff>15120</xdr:rowOff>
    </xdr:to>
    <xdr:graphicFrame>
      <xdr:nvGraphicFramePr>
        <xdr:cNvPr id="0" name="Chart 1"/>
        <xdr:cNvGraphicFramePr/>
      </xdr:nvGraphicFramePr>
      <xdr:xfrm>
        <a:off x="3806280" y="342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1"/>
      <c r="B1" s="1"/>
      <c r="C1" s="1"/>
    </row>
    <row r="2" customFormat="false" ht="24.45" hidden="false" customHeight="false" outlineLevel="0" collapsed="false">
      <c r="A2" s="1"/>
      <c r="B2" s="2" t="s">
        <v>0</v>
      </c>
      <c r="C2" s="1"/>
    </row>
    <row r="3" customFormat="false" ht="15" hidden="false" customHeight="false" outlineLevel="0" collapsed="false">
      <c r="A3" s="1"/>
      <c r="B3" s="3" t="s">
        <v>1</v>
      </c>
      <c r="C3" s="1"/>
    </row>
    <row r="4" customFormat="false" ht="15" hidden="false" customHeight="false" outlineLevel="0" collapsed="false">
      <c r="A4" s="1"/>
      <c r="B4" s="1"/>
      <c r="C4" s="1"/>
    </row>
    <row r="5" customFormat="false" ht="15" hidden="false" customHeight="false" outlineLevel="0" collapsed="false">
      <c r="A5" s="1"/>
      <c r="B5" s="4" t="s">
        <v>2</v>
      </c>
      <c r="C5" s="5"/>
    </row>
    <row r="6" customFormat="false" ht="15" hidden="false" customHeight="false" outlineLevel="0" collapsed="false">
      <c r="A6" s="1"/>
      <c r="B6" s="6" t="s">
        <v>3</v>
      </c>
      <c r="C6" s="7" t="s">
        <v>4</v>
      </c>
    </row>
    <row r="7" customFormat="false" ht="15" hidden="false" customHeight="false" outlineLevel="0" collapsed="false">
      <c r="A7" s="1"/>
      <c r="B7" s="6" t="s">
        <v>5</v>
      </c>
      <c r="C7" s="7" t="s">
        <v>6</v>
      </c>
    </row>
    <row r="8" customFormat="false" ht="15" hidden="false" customHeight="false" outlineLevel="0" collapsed="false">
      <c r="A8" s="1"/>
      <c r="B8" s="6" t="s">
        <v>7</v>
      </c>
      <c r="C8" s="7" t="s">
        <v>8</v>
      </c>
    </row>
    <row r="9" customFormat="false" ht="23.85" hidden="false" customHeight="false" outlineLevel="0" collapsed="false">
      <c r="A9" s="1"/>
      <c r="B9" s="6" t="s">
        <v>9</v>
      </c>
      <c r="C9" s="7" t="s">
        <v>10</v>
      </c>
    </row>
    <row r="10" customFormat="false" ht="15" hidden="false" customHeight="false" outlineLevel="0" collapsed="false">
      <c r="A10" s="1"/>
      <c r="B10" s="1"/>
      <c r="C10" s="1"/>
    </row>
    <row r="11" customFormat="false" ht="15" hidden="false" customHeight="false" outlineLevel="0" collapsed="false">
      <c r="A11" s="1"/>
      <c r="B11" s="4" t="s">
        <v>11</v>
      </c>
      <c r="C11" s="5"/>
    </row>
    <row r="12" customFormat="false" ht="23.85" hidden="false" customHeight="false" outlineLevel="0" collapsed="false">
      <c r="A12" s="1"/>
      <c r="B12" s="6" t="s">
        <v>12</v>
      </c>
      <c r="C12" s="7" t="s">
        <v>13</v>
      </c>
    </row>
    <row r="13" customFormat="false" ht="15" hidden="false" customHeight="false" outlineLevel="0" collapsed="false">
      <c r="A13" s="1"/>
      <c r="B13" s="6" t="s">
        <v>14</v>
      </c>
      <c r="C13" s="7" t="s">
        <v>15</v>
      </c>
    </row>
    <row r="14" customFormat="false" ht="23.85" hidden="false" customHeight="false" outlineLevel="0" collapsed="false">
      <c r="A14" s="1"/>
      <c r="B14" s="6" t="s">
        <v>16</v>
      </c>
      <c r="C14" s="7" t="s">
        <v>17</v>
      </c>
    </row>
    <row r="15" customFormat="false" ht="15" hidden="false" customHeight="false" outlineLevel="0" collapsed="false">
      <c r="A15" s="1"/>
      <c r="B15" s="6" t="s">
        <v>18</v>
      </c>
      <c r="C15" s="7" t="s">
        <v>19</v>
      </c>
    </row>
    <row r="16" customFormat="false" ht="15" hidden="false" customHeight="false" outlineLevel="0" collapsed="false">
      <c r="A16" s="1"/>
      <c r="B16" s="6" t="s">
        <v>20</v>
      </c>
      <c r="C16" s="7" t="s">
        <v>21</v>
      </c>
    </row>
    <row r="17" customFormat="false" ht="15" hidden="false" customHeight="false" outlineLevel="0" collapsed="false">
      <c r="A17" s="1"/>
      <c r="B17" s="6" t="s">
        <v>22</v>
      </c>
      <c r="C17" s="7" t="s">
        <v>23</v>
      </c>
    </row>
    <row r="18" customFormat="false" ht="15" hidden="false" customHeight="false" outlineLevel="0" collapsed="false">
      <c r="A18" s="1"/>
      <c r="B18" s="6" t="s">
        <v>24</v>
      </c>
      <c r="C18" s="7" t="s">
        <v>25</v>
      </c>
    </row>
    <row r="19" customFormat="false" ht="15" hidden="false" customHeight="false" outlineLevel="0" collapsed="false">
      <c r="A19" s="1"/>
      <c r="B19" s="1"/>
      <c r="C19" s="1"/>
    </row>
    <row r="20" customFormat="false" ht="15" hidden="false" customHeight="false" outlineLevel="0" collapsed="false">
      <c r="A20" s="1"/>
      <c r="B20" s="4" t="s">
        <v>26</v>
      </c>
      <c r="C20" s="5"/>
    </row>
    <row r="21" customFormat="false" ht="23.85" hidden="false" customHeight="false" outlineLevel="0" collapsed="false">
      <c r="A21" s="1"/>
      <c r="B21" s="6" t="s">
        <v>27</v>
      </c>
      <c r="C21" s="7" t="s">
        <v>28</v>
      </c>
    </row>
    <row r="22" customFormat="false" ht="15" hidden="false" customHeight="false" outlineLevel="0" collapsed="false">
      <c r="A22" s="1"/>
      <c r="B22" s="6" t="s">
        <v>29</v>
      </c>
      <c r="C22" s="7" t="s">
        <v>30</v>
      </c>
    </row>
    <row r="23" customFormat="false" ht="23.85" hidden="false" customHeight="false" outlineLevel="0" collapsed="false">
      <c r="A23" s="1"/>
      <c r="B23" s="6" t="s">
        <v>31</v>
      </c>
      <c r="C23" s="7" t="s">
        <v>32</v>
      </c>
    </row>
    <row r="24" customFormat="false" ht="23.85" hidden="false" customHeight="false" outlineLevel="0" collapsed="false">
      <c r="A24" s="1"/>
      <c r="B24" s="6" t="s">
        <v>33</v>
      </c>
      <c r="C24" s="7" t="s">
        <v>34</v>
      </c>
    </row>
    <row r="25" customFormat="false" ht="15" hidden="false" customHeight="false" outlineLevel="0" collapsed="false">
      <c r="A25" s="1"/>
      <c r="B25" s="6" t="s">
        <v>35</v>
      </c>
      <c r="C25" s="7" t="s">
        <v>36</v>
      </c>
    </row>
    <row r="26" customFormat="false" ht="15" hidden="false" customHeight="false" outlineLevel="0" collapsed="false">
      <c r="A26" s="1"/>
      <c r="B26" s="6" t="s">
        <v>37</v>
      </c>
      <c r="C26" s="7" t="s">
        <v>38</v>
      </c>
    </row>
    <row r="27" customFormat="false" ht="15" hidden="false" customHeight="false" outlineLevel="0" collapsed="false">
      <c r="A27" s="1"/>
      <c r="B27" s="1"/>
      <c r="C27" s="1"/>
    </row>
    <row r="28" customFormat="false" ht="15" hidden="false" customHeight="false" outlineLevel="0" collapsed="false">
      <c r="A28" s="1"/>
      <c r="B28" s="4" t="s">
        <v>39</v>
      </c>
      <c r="C28" s="5"/>
    </row>
    <row r="29" customFormat="false" ht="15" hidden="false" customHeight="false" outlineLevel="0" collapsed="false">
      <c r="A29" s="1"/>
      <c r="B29" s="6" t="s">
        <v>40</v>
      </c>
      <c r="C29" s="7" t="s">
        <v>41</v>
      </c>
    </row>
    <row r="30" customFormat="false" ht="15" hidden="false" customHeight="false" outlineLevel="0" collapsed="false">
      <c r="A30" s="1"/>
      <c r="B30" s="6" t="s">
        <v>42</v>
      </c>
      <c r="C30" s="7" t="s">
        <v>43</v>
      </c>
    </row>
    <row r="31" customFormat="false" ht="15" hidden="false" customHeight="false" outlineLevel="0" collapsed="false">
      <c r="A31" s="1"/>
      <c r="B31" s="6" t="s">
        <v>44</v>
      </c>
      <c r="C31" s="7" t="s">
        <v>45</v>
      </c>
    </row>
    <row r="32" customFormat="false" ht="15" hidden="false" customHeight="false" outlineLevel="0" collapsed="false">
      <c r="A32" s="1"/>
      <c r="B32" s="6" t="s">
        <v>46</v>
      </c>
      <c r="C32" s="7" t="s">
        <v>47</v>
      </c>
    </row>
    <row r="33" customFormat="false" ht="15" hidden="false" customHeight="false" outlineLevel="0" collapsed="false">
      <c r="A33" s="1"/>
      <c r="B33" s="1"/>
      <c r="C33" s="1"/>
    </row>
    <row r="34" customFormat="false" ht="15" hidden="false" customHeight="false" outlineLevel="0" collapsed="false">
      <c r="A34" s="1"/>
      <c r="B34" s="4" t="s">
        <v>48</v>
      </c>
      <c r="C34" s="5"/>
    </row>
    <row r="35" customFormat="false" ht="23.85" hidden="false" customHeight="false" outlineLevel="0" collapsed="false">
      <c r="A35" s="1"/>
      <c r="B35" s="6" t="s">
        <v>49</v>
      </c>
      <c r="C35" s="7" t="s">
        <v>50</v>
      </c>
    </row>
    <row r="36" customFormat="false" ht="15" hidden="false" customHeight="false" outlineLevel="0" collapsed="false">
      <c r="A36" s="1"/>
      <c r="B36" s="6" t="s">
        <v>51</v>
      </c>
      <c r="C36" s="7" t="s">
        <v>52</v>
      </c>
    </row>
    <row r="37" customFormat="false" ht="15" hidden="false" customHeight="false" outlineLevel="0" collapsed="false">
      <c r="A37" s="1"/>
      <c r="B37" s="6" t="s">
        <v>53</v>
      </c>
      <c r="C37" s="7" t="s">
        <v>54</v>
      </c>
    </row>
    <row r="38" customFormat="false" ht="15" hidden="false" customHeight="false" outlineLevel="0" collapsed="false">
      <c r="A38" s="1"/>
      <c r="B38" s="6" t="s">
        <v>55</v>
      </c>
      <c r="C38" s="7" t="s">
        <v>56</v>
      </c>
    </row>
    <row r="39" customFormat="false" ht="15" hidden="false" customHeight="false" outlineLevel="0" collapsed="false">
      <c r="A39" s="1"/>
      <c r="B39" s="6" t="s">
        <v>57</v>
      </c>
      <c r="C39" s="7" t="s">
        <v>58</v>
      </c>
    </row>
    <row r="40" customFormat="false" ht="15" hidden="false" customHeight="false" outlineLevel="0" collapsed="false">
      <c r="A40" s="1"/>
      <c r="B40" s="6" t="s">
        <v>59</v>
      </c>
      <c r="C40" s="7" t="s">
        <v>60</v>
      </c>
    </row>
    <row r="41" customFormat="false" ht="15" hidden="false" customHeight="false" outlineLevel="0" collapsed="false">
      <c r="A41" s="1"/>
      <c r="B41" s="1"/>
      <c r="C41" s="1"/>
    </row>
    <row r="42" customFormat="false" ht="15" hidden="false" customHeight="false" outlineLevel="0" collapsed="false">
      <c r="A42" s="1"/>
      <c r="B42" s="4" t="s">
        <v>61</v>
      </c>
      <c r="C42" s="5"/>
    </row>
    <row r="43" customFormat="false" ht="15" hidden="false" customHeight="false" outlineLevel="0" collapsed="false">
      <c r="A43" s="1"/>
      <c r="B43" s="6" t="s">
        <v>62</v>
      </c>
      <c r="C43" s="7" t="s">
        <v>63</v>
      </c>
    </row>
    <row r="44" customFormat="false" ht="15" hidden="false" customHeight="false" outlineLevel="0" collapsed="false">
      <c r="A44" s="1"/>
      <c r="B44" s="6" t="s">
        <v>64</v>
      </c>
      <c r="C44" s="7" t="s">
        <v>65</v>
      </c>
    </row>
    <row r="45" customFormat="false" ht="15" hidden="false" customHeight="false" outlineLevel="0" collapsed="false">
      <c r="A45" s="1"/>
      <c r="B45" s="6" t="s">
        <v>66</v>
      </c>
      <c r="C45" s="7" t="s">
        <v>67</v>
      </c>
    </row>
    <row r="46" customFormat="false" ht="23.85" hidden="false" customHeight="false" outlineLevel="0" collapsed="false">
      <c r="A46" s="1"/>
      <c r="B46" s="6" t="s">
        <v>68</v>
      </c>
      <c r="C46" s="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4"/>
  </cols>
  <sheetData>
    <row r="1" customFormat="false" ht="19.7" hidden="false" customHeight="false" outlineLevel="0" collapsed="false">
      <c r="A1" s="8" t="s">
        <v>59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9" t="str">
        <f aca="true">"As of "&amp;TEXT(TODAY(),"mmm d, yyyy")</f>
        <v>As of Oct 14, 2026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4" t="s">
        <v>70</v>
      </c>
      <c r="B3" s="5"/>
      <c r="C3" s="1"/>
      <c r="D3" s="4" t="s">
        <v>71</v>
      </c>
      <c r="E3" s="5"/>
      <c r="F3" s="5"/>
    </row>
    <row r="4" customFormat="false" ht="17.35" hidden="false" customHeight="false" outlineLevel="0" collapsed="false">
      <c r="A4" s="10" t="s">
        <v>72</v>
      </c>
      <c r="B4" s="11" t="n">
        <f aca="false">SUMIFS('RFQ Log'!$P$5:$P$304,'RFQ Log'!$R$5:$R$304,"Paid")</f>
        <v>52.05</v>
      </c>
      <c r="C4" s="1"/>
      <c r="D4" s="12" t="s">
        <v>73</v>
      </c>
      <c r="E4" s="12" t="s">
        <v>74</v>
      </c>
      <c r="F4" s="12" t="s">
        <v>75</v>
      </c>
    </row>
    <row r="5" customFormat="false" ht="17.35" hidden="false" customHeight="false" outlineLevel="0" collapsed="false">
      <c r="A5" s="10" t="s">
        <v>76</v>
      </c>
      <c r="B5" s="13" t="n">
        <f aca="false">SUMIFS('RFQ Log'!$O$5:$O$304,'RFQ Log'!$R$5:$R$304,"Paid")</f>
        <v>125</v>
      </c>
      <c r="C5" s="1"/>
      <c r="D5" s="14" t="s">
        <v>77</v>
      </c>
      <c r="E5" s="15" t="n">
        <f aca="false">COUNTIF('RFQ Log'!$R$5:$R$304,D5)</f>
        <v>0</v>
      </c>
      <c r="F5" s="16" t="n">
        <f aca="false">SUMIFS('RFQ Log'!$O$5:$O$304,'RFQ Log'!$R$5:$R$304,D5)</f>
        <v>0</v>
      </c>
    </row>
    <row r="6" customFormat="false" ht="17.35" hidden="false" customHeight="false" outlineLevel="0" collapsed="false">
      <c r="A6" s="10" t="s">
        <v>78</v>
      </c>
      <c r="B6" s="17" t="n">
        <f aca="false">IF(B5=0,0,B4/B5)</f>
        <v>0.4164</v>
      </c>
      <c r="C6" s="1"/>
      <c r="D6" s="18" t="s">
        <v>79</v>
      </c>
      <c r="E6" s="19" t="n">
        <f aca="false">COUNTIF('RFQ Log'!$R$5:$R$304,D6)</f>
        <v>0</v>
      </c>
      <c r="F6" s="20" t="n">
        <f aca="false">SUMIFS('RFQ Log'!$O$5:$O$304,'RFQ Log'!$R$5:$R$304,D6)</f>
        <v>0</v>
      </c>
    </row>
    <row r="7" customFormat="false" ht="17.35" hidden="false" customHeight="false" outlineLevel="0" collapsed="false">
      <c r="A7" s="10" t="s">
        <v>80</v>
      </c>
      <c r="B7" s="13" t="n">
        <f aca="false">SUMIFS('RFQ Log'!$P$5:$P$304,'RFQ Log'!$R$5:$R$304,"Won")+SUMIFS('RFQ Log'!$P$5:$P$304,'RFQ Log'!$R$5:$R$304,"Ordered")+SUMIFS('RFQ Log'!$P$5:$P$304,'RFQ Log'!$R$5:$R$304,"Shipped")</f>
        <v>375.5</v>
      </c>
      <c r="C7" s="1"/>
      <c r="D7" s="21" t="s">
        <v>81</v>
      </c>
      <c r="E7" s="22" t="n">
        <f aca="false">COUNTIF('RFQ Log'!$R$5:$R$304,D7)</f>
        <v>1</v>
      </c>
      <c r="F7" s="23" t="n">
        <f aca="false">SUMIFS('RFQ Log'!$O$5:$O$304,'RFQ Log'!$R$5:$R$304,D7)</f>
        <v>230</v>
      </c>
    </row>
    <row r="8" customFormat="false" ht="17.35" hidden="false" customHeight="false" outlineLevel="0" collapsed="false">
      <c r="A8" s="10" t="s">
        <v>82</v>
      </c>
      <c r="B8" s="13" t="n">
        <f aca="false">SUMIFS('RFQ Log'!$P$5:$P$304,'RFQ Log'!$R$5:$R$304,"Quoted")</f>
        <v>60.1</v>
      </c>
      <c r="C8" s="1"/>
      <c r="D8" s="24" t="s">
        <v>83</v>
      </c>
      <c r="E8" s="25" t="n">
        <f aca="false">COUNTIF('RFQ Log'!$R$5:$R$304,D8)</f>
        <v>0</v>
      </c>
      <c r="F8" s="26" t="n">
        <f aca="false">SUMIFS('RFQ Log'!$O$5:$O$304,'RFQ Log'!$R$5:$R$304,D8)</f>
        <v>0</v>
      </c>
    </row>
    <row r="9" customFormat="false" ht="17.35" hidden="false" customHeight="false" outlineLevel="0" collapsed="false">
      <c r="A9" s="10" t="s">
        <v>84</v>
      </c>
      <c r="B9" s="13" t="n">
        <f aca="true">SUMIFS('RFQ Log'!$P$5:$P$304,'RFQ Log'!$R$5:$R$304,"Paid",'RFQ Log'!$U$5:$U$304,"&gt;="&amp;DATE(YEAR(TODAY()),MONTH(TODAY()),1),'RFQ Log'!$U$5:$U$304,"&lt;"&amp;EDATE(DATE(YEAR(TODAY()),MONTH(TODAY()),1),1))</f>
        <v>0</v>
      </c>
      <c r="C9" s="1"/>
      <c r="D9" s="27" t="s">
        <v>85</v>
      </c>
      <c r="E9" s="28" t="n">
        <f aca="false">COUNTIF('RFQ Log'!$R$5:$R$304,D9)</f>
        <v>0</v>
      </c>
      <c r="F9" s="29" t="n">
        <f aca="false">SUMIFS('RFQ Log'!$O$5:$O$304,'RFQ Log'!$R$5:$R$304,D9)</f>
        <v>0</v>
      </c>
    </row>
    <row r="10" customFormat="false" ht="15" hidden="false" customHeight="false" outlineLevel="0" collapsed="false">
      <c r="A10" s="30"/>
      <c r="B10" s="1"/>
      <c r="C10" s="1"/>
      <c r="D10" s="31" t="s">
        <v>86</v>
      </c>
      <c r="E10" s="32" t="n">
        <f aca="false">COUNTIF('RFQ Log'!$R$5:$R$304,D10)</f>
        <v>1</v>
      </c>
      <c r="F10" s="33" t="n">
        <f aca="false">SUMIFS('RFQ Log'!$O$5:$O$304,'RFQ Log'!$R$5:$R$304,D10)</f>
        <v>1650</v>
      </c>
    </row>
    <row r="11" customFormat="false" ht="15" hidden="false" customHeight="false" outlineLevel="0" collapsed="false">
      <c r="A11" s="4" t="s">
        <v>87</v>
      </c>
      <c r="B11" s="5"/>
      <c r="C11" s="1"/>
      <c r="D11" s="34" t="s">
        <v>88</v>
      </c>
      <c r="E11" s="35" t="n">
        <f aca="false">COUNTIF('RFQ Log'!$R$5:$R$304,D11)</f>
        <v>1</v>
      </c>
      <c r="F11" s="36" t="n">
        <f aca="false">SUMIFS('RFQ Log'!$O$5:$O$304,'RFQ Log'!$R$5:$R$304,D11)</f>
        <v>125</v>
      </c>
    </row>
    <row r="12" customFormat="false" ht="17.35" hidden="false" customHeight="false" outlineLevel="0" collapsed="false">
      <c r="A12" s="10" t="s">
        <v>89</v>
      </c>
      <c r="B12" s="37" t="n">
        <f aca="false">COUNT('RFQ Log'!$B$5:$B$304)</f>
        <v>3</v>
      </c>
      <c r="C12" s="1"/>
      <c r="D12" s="38" t="s">
        <v>90</v>
      </c>
      <c r="E12" s="39" t="n">
        <f aca="false">COUNTIF('RFQ Log'!$R$5:$R$304,D12)</f>
        <v>0</v>
      </c>
      <c r="F12" s="40" t="n">
        <f aca="false">SUMIFS('RFQ Log'!$O$5:$O$304,'RFQ Log'!$R$5:$R$304,D12)</f>
        <v>0</v>
      </c>
    </row>
    <row r="13" customFormat="false" ht="17.35" hidden="false" customHeight="false" outlineLevel="0" collapsed="false">
      <c r="A13" s="10" t="s">
        <v>91</v>
      </c>
      <c r="B13" s="17" t="n">
        <f aca="false">IFERROR((COUNTIF('RFQ Log'!$R$5:$R$304,"Won")+COUNTIF('RFQ Log'!$R$5:$R$304,"Ordered")+COUNTIF('RFQ Log'!$R$5:$R$304,"Shipped")+COUNTIF('RFQ Log'!$R$5:$R$304,"Paid"))/((COUNTIF('RFQ Log'!$R$5:$R$304,"Won")+COUNTIF('RFQ Log'!$R$5:$R$304,"Ordered")+COUNTIF('RFQ Log'!$R$5:$R$304,"Shipped")+COUNTIF('RFQ Log'!$R$5:$R$304,"Paid"))+COUNTIF('RFQ Log'!$R$5:$R$304,"Lost")),0)</f>
        <v>1</v>
      </c>
      <c r="C13" s="1"/>
      <c r="D13" s="1"/>
      <c r="E13" s="1"/>
      <c r="F13" s="1"/>
    </row>
    <row r="14" customFormat="false" ht="17.35" hidden="false" customHeight="false" outlineLevel="0" collapsed="false">
      <c r="A14" s="10" t="s">
        <v>92</v>
      </c>
      <c r="B14" s="37" t="n">
        <f aca="false">COUNTIF('RFQ Log'!$R$5:$R$304,"New")+COUNTIF('RFQ Log'!$R$5:$R$304,"Sourcing")+COUNTIF('RFQ Log'!$R$5:$R$304,"Quoted")</f>
        <v>1</v>
      </c>
      <c r="C14" s="1"/>
      <c r="D14" s="1"/>
      <c r="E14" s="1"/>
      <c r="F14" s="1"/>
    </row>
    <row r="15" customFormat="false" ht="17.35" hidden="false" customHeight="false" outlineLevel="0" collapsed="false">
      <c r="A15" s="10" t="s">
        <v>93</v>
      </c>
      <c r="B15" s="37" t="n">
        <f aca="true">COUNTIFS('RFQ Log'!$S$5:$S$304,"&lt;="&amp;TODAY(),'RFQ Log'!$R$5:$R$304,"New")+COUNTIFS('RFQ Log'!$S$5:$S$304,"&lt;="&amp;TODAY(),'RFQ Log'!$R$5:$R$304,"Sourcing")+COUNTIFS('RFQ Log'!$S$5:$S$304,"&lt;="&amp;TODAY(),'RFQ Log'!$R$5:$R$304,"Quoted")</f>
        <v>1</v>
      </c>
      <c r="C15" s="1"/>
      <c r="D15" s="1"/>
      <c r="E15" s="1"/>
      <c r="F15" s="1"/>
    </row>
    <row r="16" customFormat="false" ht="17.35" hidden="false" customHeight="false" outlineLevel="0" collapsed="false">
      <c r="A16" s="10" t="s">
        <v>94</v>
      </c>
      <c r="B16" s="37" t="n">
        <f aca="false">COUNTIF('RFQ Log'!$R$5:$R$304,"Shipped")</f>
        <v>1</v>
      </c>
      <c r="C16" s="1"/>
      <c r="D16" s="1"/>
      <c r="E16" s="1"/>
      <c r="F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</row>
    <row r="19" customFormat="false" ht="15" hidden="false" customHeight="false" outlineLevel="0" collapsed="false">
      <c r="A19" s="4" t="s">
        <v>95</v>
      </c>
      <c r="B19" s="5"/>
      <c r="C19" s="1"/>
      <c r="D19" s="1"/>
      <c r="E19" s="1"/>
      <c r="F19" s="1"/>
    </row>
    <row r="20" customFormat="false" ht="15" hidden="false" customHeight="false" outlineLevel="0" collapsed="false">
      <c r="A20" s="12" t="s">
        <v>96</v>
      </c>
      <c r="B20" s="12" t="s">
        <v>97</v>
      </c>
      <c r="C20" s="1"/>
      <c r="D20" s="1"/>
      <c r="E20" s="1"/>
      <c r="F20" s="1"/>
    </row>
    <row r="21" customFormat="false" ht="15" hidden="false" customHeight="false" outlineLevel="0" collapsed="false">
      <c r="A21" s="41" t="n">
        <f aca="true">DATE(YEAR(TODAY()),1,1)</f>
        <v>46023</v>
      </c>
      <c r="B21" s="42" t="n">
        <f aca="false">SUMIFS('RFQ Log'!$P$5:$P$304,'RFQ Log'!$R$5:$R$304,"Paid",'RFQ Log'!$U$5:$U$304,"&gt;="&amp;A21,'RFQ Log'!$U$5:$U$304,"&lt;"&amp;EDATE(A21,1))</f>
        <v>0</v>
      </c>
      <c r="C21" s="1"/>
      <c r="D21" s="1"/>
      <c r="E21" s="1"/>
      <c r="F21" s="1"/>
    </row>
    <row r="22" customFormat="false" ht="15" hidden="false" customHeight="false" outlineLevel="0" collapsed="false">
      <c r="A22" s="41" t="n">
        <f aca="true">DATE(YEAR(TODAY()),2,1)</f>
        <v>46054</v>
      </c>
      <c r="B22" s="42" t="n">
        <f aca="false">SUMIFS('RFQ Log'!$P$5:$P$304,'RFQ Log'!$R$5:$R$304,"Paid",'RFQ Log'!$U$5:$U$304,"&gt;="&amp;A22,'RFQ Log'!$U$5:$U$304,"&lt;"&amp;EDATE(A22,1))</f>
        <v>0</v>
      </c>
      <c r="C22" s="1"/>
      <c r="D22" s="1"/>
      <c r="E22" s="1"/>
      <c r="F22" s="1"/>
    </row>
    <row r="23" customFormat="false" ht="15" hidden="false" customHeight="false" outlineLevel="0" collapsed="false">
      <c r="A23" s="41" t="n">
        <f aca="true">DATE(YEAR(TODAY()),3,1)</f>
        <v>46082</v>
      </c>
      <c r="B23" s="42" t="n">
        <f aca="false">SUMIFS('RFQ Log'!$P$5:$P$304,'RFQ Log'!$R$5:$R$304,"Paid",'RFQ Log'!$U$5:$U$304,"&gt;="&amp;A23,'RFQ Log'!$U$5:$U$304,"&lt;"&amp;EDATE(A23,1))</f>
        <v>0</v>
      </c>
      <c r="C23" s="1"/>
      <c r="D23" s="1"/>
      <c r="E23" s="1"/>
      <c r="F23" s="1"/>
    </row>
    <row r="24" customFormat="false" ht="15" hidden="false" customHeight="false" outlineLevel="0" collapsed="false">
      <c r="A24" s="41" t="n">
        <f aca="true">DATE(YEAR(TODAY()),4,1)</f>
        <v>46113</v>
      </c>
      <c r="B24" s="42" t="n">
        <f aca="false">SUMIFS('RFQ Log'!$P$5:$P$304,'RFQ Log'!$R$5:$R$304,"Paid",'RFQ Log'!$U$5:$U$304,"&gt;="&amp;A24,'RFQ Log'!$U$5:$U$304,"&lt;"&amp;EDATE(A24,1))</f>
        <v>0</v>
      </c>
      <c r="C24" s="1"/>
      <c r="D24" s="1"/>
      <c r="E24" s="1"/>
      <c r="F24" s="1"/>
    </row>
    <row r="25" customFormat="false" ht="15" hidden="false" customHeight="false" outlineLevel="0" collapsed="false">
      <c r="A25" s="41" t="n">
        <f aca="true">DATE(YEAR(TODAY()),5,1)</f>
        <v>46143</v>
      </c>
      <c r="B25" s="42" t="n">
        <f aca="false">SUMIFS('RFQ Log'!$P$5:$P$304,'RFQ Log'!$R$5:$R$304,"Paid",'RFQ Log'!$U$5:$U$304,"&gt;="&amp;A25,'RFQ Log'!$U$5:$U$304,"&lt;"&amp;EDATE(A25,1))</f>
        <v>0</v>
      </c>
      <c r="C25" s="1"/>
      <c r="D25" s="1"/>
      <c r="E25" s="1"/>
      <c r="F25" s="1"/>
    </row>
    <row r="26" customFormat="false" ht="15" hidden="false" customHeight="false" outlineLevel="0" collapsed="false">
      <c r="A26" s="41" t="n">
        <f aca="true">DATE(YEAR(TODAY()),6,1)</f>
        <v>46174</v>
      </c>
      <c r="B26" s="42" t="n">
        <f aca="false">SUMIFS('RFQ Log'!$P$5:$P$304,'RFQ Log'!$R$5:$R$304,"Paid",'RFQ Log'!$U$5:$U$304,"&gt;="&amp;A26,'RFQ Log'!$U$5:$U$304,"&lt;"&amp;EDATE(A26,1))</f>
        <v>0</v>
      </c>
      <c r="C26" s="1"/>
      <c r="D26" s="1"/>
      <c r="E26" s="1"/>
      <c r="F26" s="1"/>
    </row>
    <row r="27" customFormat="false" ht="15" hidden="false" customHeight="false" outlineLevel="0" collapsed="false">
      <c r="A27" s="41" t="n">
        <f aca="true">DATE(YEAR(TODAY()),7,1)</f>
        <v>46204</v>
      </c>
      <c r="B27" s="42" t="n">
        <f aca="false">SUMIFS('RFQ Log'!$P$5:$P$304,'RFQ Log'!$R$5:$R$304,"Paid",'RFQ Log'!$U$5:$U$304,"&gt;="&amp;A27,'RFQ Log'!$U$5:$U$304,"&lt;"&amp;EDATE(A27,1))</f>
        <v>0</v>
      </c>
      <c r="C27" s="1"/>
      <c r="D27" s="1"/>
      <c r="E27" s="1"/>
      <c r="F27" s="1"/>
    </row>
    <row r="28" customFormat="false" ht="15" hidden="false" customHeight="false" outlineLevel="0" collapsed="false">
      <c r="A28" s="41" t="n">
        <f aca="true">DATE(YEAR(TODAY()),8,1)</f>
        <v>46235</v>
      </c>
      <c r="B28" s="42" t="n">
        <f aca="false">SUMIFS('RFQ Log'!$P$5:$P$304,'RFQ Log'!$R$5:$R$304,"Paid",'RFQ Log'!$U$5:$U$304,"&gt;="&amp;A28,'RFQ Log'!$U$5:$U$304,"&lt;"&amp;EDATE(A28,1))</f>
        <v>0</v>
      </c>
      <c r="C28" s="1"/>
      <c r="D28" s="1"/>
      <c r="E28" s="1"/>
      <c r="F28" s="1"/>
    </row>
    <row r="29" customFormat="false" ht="15" hidden="false" customHeight="false" outlineLevel="0" collapsed="false">
      <c r="A29" s="41" t="n">
        <f aca="true">DATE(YEAR(TODAY()),9,1)</f>
        <v>46266</v>
      </c>
      <c r="B29" s="42" t="n">
        <f aca="false">SUMIFS('RFQ Log'!$P$5:$P$304,'RFQ Log'!$R$5:$R$304,"Paid",'RFQ Log'!$U$5:$U$304,"&gt;="&amp;A29,'RFQ Log'!$U$5:$U$304,"&lt;"&amp;EDATE(A29,1))</f>
        <v>52.05</v>
      </c>
      <c r="C29" s="1"/>
      <c r="D29" s="1"/>
      <c r="E29" s="1"/>
      <c r="F29" s="1"/>
    </row>
    <row r="30" customFormat="false" ht="15" hidden="false" customHeight="false" outlineLevel="0" collapsed="false">
      <c r="A30" s="41" t="n">
        <f aca="true">DATE(YEAR(TODAY()),10,1)</f>
        <v>46296</v>
      </c>
      <c r="B30" s="42" t="n">
        <f aca="false">SUMIFS('RFQ Log'!$P$5:$P$304,'RFQ Log'!$R$5:$R$304,"Paid",'RFQ Log'!$U$5:$U$304,"&gt;="&amp;A30,'RFQ Log'!$U$5:$U$304,"&lt;"&amp;EDATE(A30,1))</f>
        <v>0</v>
      </c>
      <c r="C30" s="1"/>
      <c r="D30" s="1"/>
      <c r="E30" s="1"/>
      <c r="F30" s="1"/>
    </row>
    <row r="31" customFormat="false" ht="15" hidden="false" customHeight="false" outlineLevel="0" collapsed="false">
      <c r="A31" s="41" t="n">
        <f aca="true">DATE(YEAR(TODAY()),11,1)</f>
        <v>46327</v>
      </c>
      <c r="B31" s="42" t="n">
        <f aca="false">SUMIFS('RFQ Log'!$P$5:$P$304,'RFQ Log'!$R$5:$R$304,"Paid",'RFQ Log'!$U$5:$U$304,"&gt;="&amp;A31,'RFQ Log'!$U$5:$U$304,"&lt;"&amp;EDATE(A31,1))</f>
        <v>0</v>
      </c>
      <c r="C31" s="1"/>
      <c r="D31" s="1"/>
      <c r="E31" s="1"/>
      <c r="F31" s="1"/>
    </row>
    <row r="32" customFormat="false" ht="15" hidden="false" customHeight="false" outlineLevel="0" collapsed="false">
      <c r="A32" s="41" t="n">
        <f aca="true">DATE(YEAR(TODAY()),12,1)</f>
        <v>46357</v>
      </c>
      <c r="B32" s="42" t="n">
        <f aca="false">SUMIFS('RFQ Log'!$P$5:$P$304,'RFQ Log'!$R$5:$R$304,"Paid",'RFQ Log'!$U$5:$U$304,"&gt;="&amp;A32,'RFQ Log'!$U$5:$U$304,"&lt;"&amp;EDATE(A32,1))</f>
        <v>0</v>
      </c>
      <c r="C32" s="1"/>
      <c r="D32" s="1"/>
      <c r="E32" s="1"/>
      <c r="F32" s="1"/>
    </row>
  </sheetData>
  <conditionalFormatting sqref="B1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8" t="s">
        <v>98</v>
      </c>
      <c r="B1" s="1"/>
      <c r="C1" s="1"/>
    </row>
    <row r="2" customFormat="false" ht="15" hidden="false" customHeight="false" outlineLevel="0" collapsed="false">
      <c r="A2" s="9" t="s">
        <v>99</v>
      </c>
      <c r="B2" s="1"/>
      <c r="C2" s="1"/>
    </row>
    <row r="3" customFormat="false" ht="31.5" hidden="false" customHeight="true" outlineLevel="0" collapsed="false">
      <c r="A3" s="43" t="s">
        <v>100</v>
      </c>
      <c r="B3" s="43" t="s">
        <v>101</v>
      </c>
      <c r="C3" s="43" t="s">
        <v>102</v>
      </c>
    </row>
    <row r="4" customFormat="false" ht="27.75" hidden="false" customHeight="true" outlineLevel="0" collapsed="false">
      <c r="A4" s="10" t="s">
        <v>103</v>
      </c>
      <c r="B4" s="44" t="n">
        <v>0.03</v>
      </c>
      <c r="C4" s="45" t="s">
        <v>104</v>
      </c>
    </row>
    <row r="5" customFormat="false" ht="27.75" hidden="false" customHeight="true" outlineLevel="0" collapsed="false">
      <c r="A5" s="10" t="s">
        <v>105</v>
      </c>
      <c r="B5" s="46" t="n">
        <v>50</v>
      </c>
      <c r="C5" s="45" t="s">
        <v>106</v>
      </c>
    </row>
    <row r="6" customFormat="false" ht="27.75" hidden="false" customHeight="true" outlineLevel="0" collapsed="false">
      <c r="A6" s="10" t="s">
        <v>107</v>
      </c>
      <c r="B6" s="46" t="n">
        <v>5</v>
      </c>
      <c r="C6" s="45" t="s">
        <v>108</v>
      </c>
    </row>
    <row r="7" customFormat="false" ht="27.75" hidden="false" customHeight="true" outlineLevel="0" collapsed="false">
      <c r="A7" s="10" t="s">
        <v>109</v>
      </c>
      <c r="B7" s="47" t="n">
        <v>7</v>
      </c>
      <c r="C7" s="45" t="s">
        <v>110</v>
      </c>
    </row>
    <row r="8" customFormat="false" ht="27.75" hidden="false" customHeight="true" outlineLevel="0" collapsed="false">
      <c r="A8" s="10" t="s">
        <v>111</v>
      </c>
      <c r="B8" s="47" t="n">
        <v>3</v>
      </c>
      <c r="C8" s="45" t="s">
        <v>112</v>
      </c>
    </row>
    <row r="9" customFormat="false" ht="27.75" hidden="false" customHeight="true" outlineLevel="0" collapsed="false">
      <c r="A9" s="10" t="s">
        <v>113</v>
      </c>
      <c r="B9" s="44" t="n">
        <v>0.5</v>
      </c>
      <c r="C9" s="45" t="s">
        <v>114</v>
      </c>
    </row>
    <row r="10" customFormat="false" ht="15" hidden="false" customHeight="false" outlineLevel="0" collapsed="false">
      <c r="A10" s="1"/>
      <c r="B10" s="1"/>
      <c r="C10" s="1"/>
    </row>
    <row r="11" customFormat="false" ht="15" hidden="false" customHeight="false" outlineLevel="0" collapsed="false">
      <c r="A11" s="1"/>
      <c r="B11" s="1"/>
      <c r="C11" s="1"/>
    </row>
    <row r="12" customFormat="false" ht="15" hidden="false" customHeight="false" outlineLevel="0" collapsed="false">
      <c r="A12" s="30" t="s">
        <v>115</v>
      </c>
      <c r="B12" s="1"/>
      <c r="C12" s="1"/>
    </row>
    <row r="13" customFormat="false" ht="31.5" hidden="false" customHeight="true" outlineLevel="0" collapsed="false">
      <c r="A13" s="43" t="s">
        <v>116</v>
      </c>
      <c r="B13" s="43" t="s">
        <v>117</v>
      </c>
      <c r="C13" s="43" t="s">
        <v>118</v>
      </c>
    </row>
    <row r="14" customFormat="false" ht="15" hidden="false" customHeight="false" outlineLevel="0" collapsed="false">
      <c r="A14" s="46" t="n">
        <v>0</v>
      </c>
      <c r="B14" s="44" t="n">
        <v>0.35</v>
      </c>
      <c r="C14" s="48" t="s">
        <v>119</v>
      </c>
    </row>
    <row r="15" customFormat="false" ht="15" hidden="false" customHeight="false" outlineLevel="0" collapsed="false">
      <c r="A15" s="46" t="n">
        <v>500</v>
      </c>
      <c r="B15" s="44" t="n">
        <v>0.25</v>
      </c>
      <c r="C15" s="48" t="s">
        <v>120</v>
      </c>
    </row>
    <row r="16" customFormat="false" ht="15" hidden="false" customHeight="false" outlineLevel="0" collapsed="false">
      <c r="A16" s="46" t="n">
        <v>2000</v>
      </c>
      <c r="B16" s="44" t="n">
        <v>0.18</v>
      </c>
      <c r="C16" s="48" t="s">
        <v>121</v>
      </c>
    </row>
    <row r="17" customFormat="false" ht="15" hidden="false" customHeight="false" outlineLevel="0" collapsed="false">
      <c r="A17" s="46" t="n">
        <v>10000</v>
      </c>
      <c r="B17" s="44" t="n">
        <v>0.12</v>
      </c>
      <c r="C17" s="48" t="s">
        <v>122</v>
      </c>
    </row>
    <row r="18" customFormat="false" ht="15" hidden="false" customHeight="false" outlineLevel="0" collapsed="false">
      <c r="A18" s="46" t="n">
        <v>50000</v>
      </c>
      <c r="B18" s="44" t="n">
        <v>0.08</v>
      </c>
      <c r="C18" s="48" t="s">
        <v>123</v>
      </c>
    </row>
    <row r="19" customFormat="false" ht="15" hidden="false" customHeight="false" outlineLevel="0" collapsed="false">
      <c r="A19" s="1"/>
      <c r="B19" s="1"/>
      <c r="C19" s="1"/>
    </row>
    <row r="20" customFormat="false" ht="15" hidden="false" customHeight="true" outlineLevel="0" collapsed="false">
      <c r="A20" s="49" t="s">
        <v>124</v>
      </c>
      <c r="B20" s="49"/>
      <c r="C20" s="49"/>
    </row>
    <row r="21" customFormat="false" ht="15" hidden="false" customHeight="false" outlineLevel="0" collapsed="false">
      <c r="A21" s="49"/>
      <c r="B21" s="49"/>
      <c r="C21" s="49"/>
    </row>
    <row r="22" customFormat="false" ht="15" hidden="false" customHeight="false" outlineLevel="0" collapsed="false">
      <c r="A22" s="1"/>
      <c r="B22" s="1"/>
      <c r="C22" s="1"/>
    </row>
    <row r="23" customFormat="false" ht="15" hidden="false" customHeight="false" outlineLevel="0" collapsed="false">
      <c r="A23" s="30" t="s">
        <v>125</v>
      </c>
      <c r="B23" s="1"/>
      <c r="C23" s="1"/>
    </row>
    <row r="24" customFormat="false" ht="15" hidden="false" customHeight="false" outlineLevel="0" collapsed="false">
      <c r="A24" s="10" t="s">
        <v>77</v>
      </c>
      <c r="B24" s="50" t="s">
        <v>126</v>
      </c>
      <c r="C24" s="50"/>
    </row>
    <row r="25" customFormat="false" ht="15" hidden="false" customHeight="false" outlineLevel="0" collapsed="false">
      <c r="A25" s="10" t="s">
        <v>79</v>
      </c>
      <c r="B25" s="50" t="s">
        <v>127</v>
      </c>
      <c r="C25" s="50"/>
    </row>
    <row r="26" customFormat="false" ht="15" hidden="false" customHeight="false" outlineLevel="0" collapsed="false">
      <c r="A26" s="10" t="s">
        <v>81</v>
      </c>
      <c r="B26" s="50" t="s">
        <v>128</v>
      </c>
      <c r="C26" s="50"/>
    </row>
    <row r="27" customFormat="false" ht="15" hidden="false" customHeight="false" outlineLevel="0" collapsed="false">
      <c r="A27" s="10" t="s">
        <v>83</v>
      </c>
      <c r="B27" s="50" t="s">
        <v>129</v>
      </c>
      <c r="C27" s="50"/>
    </row>
    <row r="28" customFormat="false" ht="15" hidden="false" customHeight="false" outlineLevel="0" collapsed="false">
      <c r="A28" s="10" t="s">
        <v>85</v>
      </c>
      <c r="B28" s="50" t="s">
        <v>130</v>
      </c>
      <c r="C28" s="50"/>
    </row>
    <row r="29" customFormat="false" ht="15" hidden="false" customHeight="false" outlineLevel="0" collapsed="false">
      <c r="A29" s="10" t="s">
        <v>86</v>
      </c>
      <c r="B29" s="50" t="s">
        <v>131</v>
      </c>
      <c r="C29" s="50"/>
    </row>
    <row r="30" customFormat="false" ht="15" hidden="false" customHeight="false" outlineLevel="0" collapsed="false">
      <c r="A30" s="10" t="s">
        <v>88</v>
      </c>
      <c r="B30" s="50" t="s">
        <v>132</v>
      </c>
      <c r="C30" s="50"/>
    </row>
    <row r="31" customFormat="false" ht="15" hidden="false" customHeight="false" outlineLevel="0" collapsed="false">
      <c r="A31" s="10" t="s">
        <v>90</v>
      </c>
      <c r="B31" s="50" t="s">
        <v>133</v>
      </c>
      <c r="C31" s="50"/>
    </row>
  </sheetData>
  <mergeCells count="9">
    <mergeCell ref="A20:C21"/>
    <mergeCell ref="B24:C24"/>
    <mergeCell ref="B25:C25"/>
    <mergeCell ref="B26:C26"/>
    <mergeCell ref="B27:C27"/>
    <mergeCell ref="B28:C28"/>
    <mergeCell ref="B29:C29"/>
    <mergeCell ref="B30:C30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4"/>
  </cols>
  <sheetData>
    <row r="1" customFormat="false" ht="19.7" hidden="false" customHeight="false" outlineLevel="0" collapsed="false">
      <c r="A1" s="8" t="s">
        <v>134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135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51" t="s">
        <v>136</v>
      </c>
      <c r="B4" s="52" t="s">
        <v>137</v>
      </c>
      <c r="C4" s="1"/>
      <c r="D4" s="1"/>
      <c r="E4" s="1"/>
      <c r="F4" s="1"/>
      <c r="G4" s="1"/>
    </row>
    <row r="5" customFormat="false" ht="15" hidden="false" customHeight="false" outlineLevel="0" collapsed="false">
      <c r="A5" s="51" t="s">
        <v>138</v>
      </c>
      <c r="B5" s="52" t="s">
        <v>139</v>
      </c>
      <c r="C5" s="1"/>
      <c r="D5" s="1"/>
      <c r="E5" s="1"/>
      <c r="F5" s="1"/>
      <c r="G5" s="1"/>
    </row>
    <row r="6" customFormat="false" ht="15" hidden="false" customHeight="false" outlineLevel="0" collapsed="false">
      <c r="A6" s="51" t="s">
        <v>140</v>
      </c>
      <c r="B6" s="53" t="n">
        <v>46309</v>
      </c>
      <c r="C6" s="1"/>
      <c r="D6" s="1"/>
      <c r="E6" s="1"/>
      <c r="F6" s="1"/>
      <c r="G6" s="1"/>
    </row>
    <row r="7" customFormat="false" ht="15" hidden="false" customHeight="false" outlineLevel="0" collapsed="false">
      <c r="A7" s="51" t="s">
        <v>141</v>
      </c>
      <c r="B7" s="54" t="n">
        <f aca="false">B6+Settings!$B$7</f>
        <v>46316</v>
      </c>
      <c r="C7" s="1"/>
      <c r="D7" s="1"/>
      <c r="E7" s="1"/>
      <c r="F7" s="1"/>
      <c r="G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31.5" hidden="false" customHeight="true" outlineLevel="0" collapsed="false">
      <c r="A9" s="43" t="s">
        <v>142</v>
      </c>
      <c r="B9" s="43" t="s">
        <v>143</v>
      </c>
      <c r="C9" s="43" t="s">
        <v>144</v>
      </c>
      <c r="D9" s="43" t="s">
        <v>145</v>
      </c>
      <c r="E9" s="43" t="s">
        <v>146</v>
      </c>
      <c r="F9" s="43" t="s">
        <v>147</v>
      </c>
      <c r="G9" s="43" t="s">
        <v>148</v>
      </c>
    </row>
    <row r="10" customFormat="false" ht="15" hidden="false" customHeight="false" outlineLevel="0" collapsed="false">
      <c r="A10" s="52" t="s">
        <v>149</v>
      </c>
      <c r="B10" s="52" t="s">
        <v>150</v>
      </c>
      <c r="C10" s="52" t="n">
        <v>8</v>
      </c>
      <c r="D10" s="55" t="n">
        <v>6.4</v>
      </c>
      <c r="E10" s="56" t="n">
        <f aca="false">IF(OR(C10="",D10=""),"",C10*D10)</f>
        <v>51.2</v>
      </c>
      <c r="F10" s="57" t="n">
        <f aca="false">IF(OR(E10="",$E$20=0),"",ROUND(E10/$E$20*$E$34/C10,2))</f>
        <v>9.8</v>
      </c>
      <c r="G10" s="57" t="n">
        <f aca="false">IF(F10="","",F10*C10)</f>
        <v>78.4</v>
      </c>
    </row>
    <row r="11" customFormat="false" ht="15" hidden="false" customHeight="false" outlineLevel="0" collapsed="false">
      <c r="A11" s="52" t="s">
        <v>151</v>
      </c>
      <c r="B11" s="52" t="s">
        <v>152</v>
      </c>
      <c r="C11" s="52" t="n">
        <v>2</v>
      </c>
      <c r="D11" s="55" t="n">
        <v>74</v>
      </c>
      <c r="E11" s="56" t="n">
        <f aca="false">IF(OR(C11="",D11=""),"",C11*D11)</f>
        <v>148</v>
      </c>
      <c r="F11" s="57" t="n">
        <f aca="false">IF(OR(E11="",$E$20=0),"",ROUND(E11/$E$20*$E$34/C11,2))</f>
        <v>113.3</v>
      </c>
      <c r="G11" s="57" t="n">
        <f aca="false">IF(F11="","",F11*C11)</f>
        <v>226.6</v>
      </c>
    </row>
    <row r="12" customFormat="false" ht="15" hidden="false" customHeight="false" outlineLevel="0" collapsed="false">
      <c r="A12" s="52"/>
      <c r="B12" s="52"/>
      <c r="C12" s="52"/>
      <c r="D12" s="55"/>
      <c r="E12" s="56" t="str">
        <f aca="false">IF(OR(C12="",D12=""),"",C12*D12)</f>
        <v/>
      </c>
      <c r="F12" s="57" t="str">
        <f aca="false">IF(OR(E12="",$E$20=0),"",ROUND(E12/$E$20*$E$34/C12,2))</f>
        <v/>
      </c>
      <c r="G12" s="57" t="str">
        <f aca="false">IF(F12="","",F12*C12)</f>
        <v/>
      </c>
    </row>
    <row r="13" customFormat="false" ht="15" hidden="false" customHeight="false" outlineLevel="0" collapsed="false">
      <c r="A13" s="52"/>
      <c r="B13" s="52"/>
      <c r="C13" s="52"/>
      <c r="D13" s="55"/>
      <c r="E13" s="56" t="str">
        <f aca="false">IF(OR(C13="",D13=""),"",C13*D13)</f>
        <v/>
      </c>
      <c r="F13" s="57" t="str">
        <f aca="false">IF(OR(E13="",$E$20=0),"",ROUND(E13/$E$20*$E$34/C13,2))</f>
        <v/>
      </c>
      <c r="G13" s="57" t="str">
        <f aca="false">IF(F13="","",F13*C13)</f>
        <v/>
      </c>
    </row>
    <row r="14" customFormat="false" ht="15" hidden="false" customHeight="false" outlineLevel="0" collapsed="false">
      <c r="A14" s="52"/>
      <c r="B14" s="52"/>
      <c r="C14" s="52"/>
      <c r="D14" s="55"/>
      <c r="E14" s="56" t="str">
        <f aca="false">IF(OR(C14="",D14=""),"",C14*D14)</f>
        <v/>
      </c>
      <c r="F14" s="57" t="str">
        <f aca="false">IF(OR(E14="",$E$20=0),"",ROUND(E14/$E$20*$E$34/C14,2))</f>
        <v/>
      </c>
      <c r="G14" s="57" t="str">
        <f aca="false">IF(F14="","",F14*C14)</f>
        <v/>
      </c>
    </row>
    <row r="15" customFormat="false" ht="15" hidden="false" customHeight="false" outlineLevel="0" collapsed="false">
      <c r="A15" s="52"/>
      <c r="B15" s="52"/>
      <c r="C15" s="52"/>
      <c r="D15" s="55"/>
      <c r="E15" s="56" t="str">
        <f aca="false">IF(OR(C15="",D15=""),"",C15*D15)</f>
        <v/>
      </c>
      <c r="F15" s="57" t="str">
        <f aca="false">IF(OR(E15="",$E$20=0),"",ROUND(E15/$E$20*$E$34/C15,2))</f>
        <v/>
      </c>
      <c r="G15" s="57" t="str">
        <f aca="false">IF(F15="","",F15*C15)</f>
        <v/>
      </c>
    </row>
    <row r="16" customFormat="false" ht="15" hidden="false" customHeight="false" outlineLevel="0" collapsed="false">
      <c r="A16" s="52"/>
      <c r="B16" s="52"/>
      <c r="C16" s="52"/>
      <c r="D16" s="55"/>
      <c r="E16" s="56" t="str">
        <f aca="false">IF(OR(C16="",D16=""),"",C16*D16)</f>
        <v/>
      </c>
      <c r="F16" s="57" t="str">
        <f aca="false">IF(OR(E16="",$E$20=0),"",ROUND(E16/$E$20*$E$34/C16,2))</f>
        <v/>
      </c>
      <c r="G16" s="57" t="str">
        <f aca="false">IF(F16="","",F16*C16)</f>
        <v/>
      </c>
    </row>
    <row r="17" customFormat="false" ht="15" hidden="false" customHeight="false" outlineLevel="0" collapsed="false">
      <c r="A17" s="52"/>
      <c r="B17" s="52"/>
      <c r="C17" s="52"/>
      <c r="D17" s="55"/>
      <c r="E17" s="56" t="str">
        <f aca="false">IF(OR(C17="",D17=""),"",C17*D17)</f>
        <v/>
      </c>
      <c r="F17" s="57" t="str">
        <f aca="false">IF(OR(E17="",$E$20=0),"",ROUND(E17/$E$20*$E$34/C17,2))</f>
        <v/>
      </c>
      <c r="G17" s="57" t="str">
        <f aca="false">IF(F17="","",F17*C17)</f>
        <v/>
      </c>
    </row>
    <row r="18" customFormat="false" ht="15" hidden="false" customHeight="false" outlineLevel="0" collapsed="false">
      <c r="A18" s="52"/>
      <c r="B18" s="52"/>
      <c r="C18" s="52"/>
      <c r="D18" s="55"/>
      <c r="E18" s="56" t="str">
        <f aca="false">IF(OR(C18="",D18=""),"",C18*D18)</f>
        <v/>
      </c>
      <c r="F18" s="57" t="str">
        <f aca="false">IF(OR(E18="",$E$20=0),"",ROUND(E18/$E$20*$E$34/C18,2))</f>
        <v/>
      </c>
      <c r="G18" s="57" t="str">
        <f aca="false">IF(F18="","",F18*C18)</f>
        <v/>
      </c>
    </row>
    <row r="19" customFormat="false" ht="15" hidden="false" customHeight="false" outlineLevel="0" collapsed="false">
      <c r="A19" s="52"/>
      <c r="B19" s="52"/>
      <c r="C19" s="52"/>
      <c r="D19" s="55"/>
      <c r="E19" s="56" t="str">
        <f aca="false">IF(OR(C19="",D19=""),"",C19*D19)</f>
        <v/>
      </c>
      <c r="F19" s="57" t="str">
        <f aca="false">IF(OR(E19="",$E$20=0),"",ROUND(E19/$E$20*$E$34/C19,2))</f>
        <v/>
      </c>
      <c r="G19" s="57" t="str">
        <f aca="false">IF(F19="","",F19*C19)</f>
        <v/>
      </c>
    </row>
    <row r="20" customFormat="false" ht="15" hidden="false" customHeight="false" outlineLevel="0" collapsed="false">
      <c r="A20" s="1"/>
      <c r="B20" s="1"/>
      <c r="C20" s="1"/>
      <c r="D20" s="58" t="s">
        <v>153</v>
      </c>
      <c r="E20" s="59" t="n">
        <f aca="false">SUM(E10:E19)</f>
        <v>199.2</v>
      </c>
      <c r="F20" s="1"/>
      <c r="G20" s="1"/>
    </row>
    <row r="21" customFormat="false" ht="15" hidden="false" customHeight="false" outlineLevel="0" collapsed="false">
      <c r="A21" s="1"/>
      <c r="B21" s="1"/>
      <c r="C21" s="1"/>
      <c r="D21" s="60" t="s">
        <v>154</v>
      </c>
      <c r="E21" s="55" t="n">
        <v>0</v>
      </c>
      <c r="F21" s="9" t="s">
        <v>155</v>
      </c>
      <c r="G21" s="1"/>
    </row>
    <row r="22" customFormat="false" ht="15" hidden="false" customHeight="false" outlineLevel="0" collapsed="false">
      <c r="A22" s="1"/>
      <c r="B22" s="1"/>
      <c r="C22" s="1"/>
      <c r="D22" s="60" t="s">
        <v>156</v>
      </c>
      <c r="E22" s="55" t="n">
        <v>18</v>
      </c>
      <c r="F22" s="9" t="s">
        <v>157</v>
      </c>
      <c r="G22" s="1"/>
    </row>
    <row r="23" customFormat="false" ht="15" hidden="false" customHeight="false" outlineLevel="0" collapsed="false">
      <c r="A23" s="1"/>
      <c r="B23" s="1"/>
      <c r="C23" s="1"/>
      <c r="D23" s="60" t="s">
        <v>158</v>
      </c>
      <c r="E23" s="55" t="n">
        <v>0</v>
      </c>
      <c r="F23" s="1"/>
      <c r="G23" s="1"/>
    </row>
    <row r="24" customFormat="false" ht="15" hidden="false" customHeight="false" outlineLevel="0" collapsed="false">
      <c r="A24" s="1"/>
      <c r="B24" s="1"/>
      <c r="C24" s="1"/>
      <c r="D24" s="58" t="s">
        <v>159</v>
      </c>
      <c r="E24" s="59" t="n">
        <f aca="false">SUM(E20:E23)</f>
        <v>217.2</v>
      </c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60" t="s">
        <v>160</v>
      </c>
      <c r="E26" s="61" t="n">
        <f aca="false">IF(E24=0,0,INDEX(Settings!$B$14:$B$18,MATCH(E24,Settings!$A$14:$A$18,1)))</f>
        <v>0.35</v>
      </c>
      <c r="F26" s="1"/>
      <c r="G26" s="1"/>
    </row>
    <row r="27" customFormat="false" ht="15" hidden="false" customHeight="false" outlineLevel="0" collapsed="false">
      <c r="A27" s="1"/>
      <c r="B27" s="1"/>
      <c r="C27" s="1"/>
      <c r="D27" s="58" t="s">
        <v>161</v>
      </c>
      <c r="E27" s="59" t="n">
        <f aca="false">IF(E24=0,0,CEILING(MAX(E24*(1+E26),E24+Settings!$B$5)/(1-Settings!$B$4),Settings!$B$6))</f>
        <v>305</v>
      </c>
      <c r="F27" s="9" t="s">
        <v>162</v>
      </c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60" t="s">
        <v>163</v>
      </c>
      <c r="E29" s="44" t="n">
        <v>0.25</v>
      </c>
      <c r="F29" s="9" t="s">
        <v>164</v>
      </c>
      <c r="G29" s="1"/>
    </row>
    <row r="30" customFormat="false" ht="15" hidden="false" customHeight="false" outlineLevel="0" collapsed="false">
      <c r="A30" s="1"/>
      <c r="B30" s="1"/>
      <c r="C30" s="1"/>
      <c r="D30" s="60" t="s">
        <v>165</v>
      </c>
      <c r="E30" s="56" t="n">
        <f aca="false">IF(OR(E24=0,1-Settings!$B$4-E29&lt;=0),0,CEILING(E24/(1-Settings!$B$4-E29),Settings!$B$6))</f>
        <v>305</v>
      </c>
      <c r="F30" s="9" t="s">
        <v>166</v>
      </c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60" t="s">
        <v>167</v>
      </c>
      <c r="E32" s="47" t="n">
        <v>1</v>
      </c>
      <c r="F32" s="1"/>
      <c r="G32" s="1"/>
    </row>
    <row r="33" customFormat="false" ht="15" hidden="false" customHeight="false" outlineLevel="0" collapsed="false">
      <c r="A33" s="1"/>
      <c r="B33" s="1"/>
      <c r="C33" s="1"/>
      <c r="D33" s="60" t="s">
        <v>168</v>
      </c>
      <c r="E33" s="55" t="n">
        <v>0</v>
      </c>
      <c r="F33" s="9" t="s">
        <v>169</v>
      </c>
      <c r="G33" s="1"/>
    </row>
    <row r="34" customFormat="false" ht="15" hidden="false" customHeight="false" outlineLevel="0" collapsed="false">
      <c r="A34" s="1"/>
      <c r="B34" s="1"/>
      <c r="C34" s="1"/>
      <c r="D34" s="58" t="s">
        <v>170</v>
      </c>
      <c r="E34" s="62" t="n">
        <f aca="false">CHOOSE(E32,E27,E30,E33)</f>
        <v>305</v>
      </c>
      <c r="F34" s="1"/>
      <c r="G34" s="1"/>
    </row>
    <row r="35" customFormat="false" ht="15" hidden="false" customHeight="false" outlineLevel="0" collapsed="false">
      <c r="A35" s="1"/>
      <c r="B35" s="1"/>
      <c r="C35" s="1"/>
      <c r="D35" s="60" t="s">
        <v>171</v>
      </c>
      <c r="E35" s="56" t="n">
        <f aca="false">E34*Settings!$B$4</f>
        <v>9.15</v>
      </c>
      <c r="F35" s="1"/>
      <c r="G35" s="1"/>
    </row>
    <row r="36" customFormat="false" ht="15" hidden="false" customHeight="false" outlineLevel="0" collapsed="false">
      <c r="A36" s="1"/>
      <c r="B36" s="1"/>
      <c r="C36" s="1"/>
      <c r="D36" s="58" t="s">
        <v>172</v>
      </c>
      <c r="E36" s="63" t="n">
        <f aca="false">E34-E35-E24</f>
        <v>78.65</v>
      </c>
      <c r="F36" s="1"/>
      <c r="G36" s="1"/>
    </row>
    <row r="37" customFormat="false" ht="15" hidden="false" customHeight="false" outlineLevel="0" collapsed="false">
      <c r="A37" s="1"/>
      <c r="B37" s="1"/>
      <c r="C37" s="1"/>
      <c r="D37" s="60" t="s">
        <v>173</v>
      </c>
      <c r="E37" s="61" t="n">
        <f aca="false">IF(E34=0,0,E36/E34)</f>
        <v>0.257868852459017</v>
      </c>
      <c r="F37" s="1"/>
      <c r="G37" s="1"/>
    </row>
    <row r="38" customFormat="false" ht="15" hidden="false" customHeight="false" outlineLevel="0" collapsed="false">
      <c r="A38" s="1"/>
      <c r="B38" s="1"/>
      <c r="C38" s="1"/>
      <c r="D38" s="60" t="s">
        <v>174</v>
      </c>
      <c r="E38" s="61" t="n">
        <f aca="false">IF(E24=0,0,E36/E24)</f>
        <v>0.362108655616943</v>
      </c>
      <c r="F38" s="1"/>
      <c r="G38" s="1"/>
    </row>
    <row r="39" customFormat="false" ht="15" hidden="false" customHeight="false" outlineLevel="0" collapsed="false">
      <c r="A39" s="1"/>
      <c r="B39" s="1"/>
      <c r="C39" s="1"/>
      <c r="D39" s="60" t="s">
        <v>175</v>
      </c>
      <c r="E39" s="56" t="n">
        <f aca="false">MAX(E24,CEILING(E34*Settings!$B$9,1))</f>
        <v>217.2</v>
      </c>
      <c r="F39" s="9" t="s">
        <v>176</v>
      </c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" hidden="false" customHeight="false" outlineLevel="0" collapsed="false">
      <c r="A42" s="30" t="s">
        <v>177</v>
      </c>
      <c r="B42" s="1"/>
      <c r="C42" s="1"/>
      <c r="D42" s="1"/>
      <c r="E42" s="1"/>
      <c r="F42" s="1"/>
      <c r="G42" s="1"/>
    </row>
    <row r="43" customFormat="false" ht="15" hidden="false" customHeight="false" outlineLevel="0" collapsed="false">
      <c r="A43" s="12" t="s">
        <v>62</v>
      </c>
      <c r="B43" s="12" t="s">
        <v>178</v>
      </c>
      <c r="C43" s="12" t="s">
        <v>64</v>
      </c>
      <c r="D43" s="12" t="s">
        <v>179</v>
      </c>
      <c r="E43" s="1"/>
      <c r="F43" s="1"/>
      <c r="G43" s="1"/>
    </row>
    <row r="44" customFormat="false" ht="15" hidden="false" customHeight="false" outlineLevel="0" collapsed="false">
      <c r="A44" s="64" t="n">
        <v>0.1</v>
      </c>
      <c r="B44" s="61" t="n">
        <f aca="false">A44/(1+A44)</f>
        <v>0.0909090909090909</v>
      </c>
      <c r="C44" s="64" t="n">
        <v>0.1</v>
      </c>
      <c r="D44" s="61" t="n">
        <f aca="false">IF(C44&gt;=1,0,C44/(1-C44))</f>
        <v>0.111111111111111</v>
      </c>
      <c r="E44" s="1"/>
      <c r="F44" s="1"/>
      <c r="G44" s="1"/>
    </row>
    <row r="45" customFormat="false" ht="15" hidden="false" customHeight="false" outlineLevel="0" collapsed="false">
      <c r="A45" s="64" t="n">
        <v>0.15</v>
      </c>
      <c r="B45" s="61" t="n">
        <f aca="false">A45/(1+A45)</f>
        <v>0.130434782608696</v>
      </c>
      <c r="C45" s="64" t="n">
        <v>0.15</v>
      </c>
      <c r="D45" s="61" t="n">
        <f aca="false">IF(C45&gt;=1,0,C45/(1-C45))</f>
        <v>0.176470588235294</v>
      </c>
      <c r="E45" s="1"/>
      <c r="F45" s="1"/>
      <c r="G45" s="1"/>
    </row>
    <row r="46" customFormat="false" ht="15" hidden="false" customHeight="false" outlineLevel="0" collapsed="false">
      <c r="A46" s="64" t="n">
        <v>0.2</v>
      </c>
      <c r="B46" s="61" t="n">
        <f aca="false">A46/(1+A46)</f>
        <v>0.166666666666667</v>
      </c>
      <c r="C46" s="64" t="n">
        <v>0.2</v>
      </c>
      <c r="D46" s="61" t="n">
        <f aca="false">IF(C46&gt;=1,0,C46/(1-C46))</f>
        <v>0.25</v>
      </c>
      <c r="E46" s="1"/>
      <c r="F46" s="1"/>
      <c r="G46" s="1"/>
    </row>
    <row r="47" customFormat="false" ht="15" hidden="false" customHeight="false" outlineLevel="0" collapsed="false">
      <c r="A47" s="64" t="n">
        <v>0.25</v>
      </c>
      <c r="B47" s="61" t="n">
        <f aca="false">A47/(1+A47)</f>
        <v>0.2</v>
      </c>
      <c r="C47" s="64" t="n">
        <v>0.25</v>
      </c>
      <c r="D47" s="61" t="n">
        <f aca="false">IF(C47&gt;=1,0,C47/(1-C47))</f>
        <v>0.333333333333333</v>
      </c>
      <c r="E47" s="1"/>
      <c r="F47" s="1"/>
      <c r="G47" s="1"/>
    </row>
    <row r="48" customFormat="false" ht="15" hidden="false" customHeight="false" outlineLevel="0" collapsed="false">
      <c r="A48" s="64" t="n">
        <v>0.3</v>
      </c>
      <c r="B48" s="61" t="n">
        <f aca="false">A48/(1+A48)</f>
        <v>0.230769230769231</v>
      </c>
      <c r="C48" s="64" t="n">
        <v>0.3</v>
      </c>
      <c r="D48" s="61" t="n">
        <f aca="false">IF(C48&gt;=1,0,C48/(1-C48))</f>
        <v>0.428571428571429</v>
      </c>
      <c r="E48" s="1"/>
      <c r="F48" s="1"/>
      <c r="G48" s="1"/>
    </row>
    <row r="49" customFormat="false" ht="15" hidden="false" customHeight="false" outlineLevel="0" collapsed="false">
      <c r="A49" s="64" t="n">
        <v>0.4</v>
      </c>
      <c r="B49" s="61" t="n">
        <f aca="false">A49/(1+A49)</f>
        <v>0.285714285714286</v>
      </c>
      <c r="C49" s="64" t="n">
        <v>0.4</v>
      </c>
      <c r="D49" s="61" t="n">
        <f aca="false">IF(C49&gt;=1,0,C49/(1-C49))</f>
        <v>0.666666666666667</v>
      </c>
      <c r="E49" s="1"/>
      <c r="F49" s="1"/>
      <c r="G49" s="1"/>
    </row>
    <row r="50" customFormat="false" ht="15" hidden="false" customHeight="false" outlineLevel="0" collapsed="false">
      <c r="A50" s="64" t="n">
        <v>0.5</v>
      </c>
      <c r="B50" s="61" t="n">
        <f aca="false">A50/(1+A50)</f>
        <v>0.333333333333333</v>
      </c>
      <c r="C50" s="64" t="n">
        <v>0.5</v>
      </c>
      <c r="D50" s="61" t="n">
        <f aca="false">IF(C50&gt;=1,0,C50/(1-C50))</f>
        <v>1</v>
      </c>
      <c r="E50" s="1"/>
      <c r="F50" s="1"/>
      <c r="G50" s="1"/>
    </row>
    <row r="51" customFormat="false" ht="15" hidden="false" customHeight="false" outlineLevel="0" collapsed="false">
      <c r="A51" s="64" t="n">
        <v>0.75</v>
      </c>
      <c r="B51" s="61" t="n">
        <f aca="false">A51/(1+A51)</f>
        <v>0.428571428571429</v>
      </c>
      <c r="C51" s="64" t="n">
        <v>0.75</v>
      </c>
      <c r="D51" s="61" t="n">
        <f aca="false">IF(C51&gt;=1,0,C51/(1-C51))</f>
        <v>3</v>
      </c>
      <c r="E51" s="1"/>
      <c r="F51" s="1"/>
      <c r="G51" s="1"/>
    </row>
    <row r="52" customFormat="false" ht="15" hidden="false" customHeight="false" outlineLevel="0" collapsed="false">
      <c r="A52" s="64" t="n">
        <v>1</v>
      </c>
      <c r="B52" s="61" t="n">
        <f aca="false">A52/(1+A52)</f>
        <v>0.5</v>
      </c>
      <c r="C52" s="64" t="n">
        <v>0.6</v>
      </c>
      <c r="D52" s="61" t="n">
        <f aca="false">IF(C52&gt;=1,0,C52/(1-C52))</f>
        <v>1.5</v>
      </c>
      <c r="E52" s="1"/>
      <c r="F52" s="1"/>
      <c r="G52" s="1"/>
    </row>
  </sheetData>
  <conditionalFormatting sqref="E36">
    <cfRule type="cellIs" priority="2" operator="lessThan" aboveAverage="0" equalAverage="0" bottom="0" percent="0" rank="0" text="" dxfId="1">
      <formula>Settings!$B$5</formula>
    </cfRule>
  </conditionalFormatting>
  <dataValidations count="1">
    <dataValidation allowBlank="false" errorStyle="stop" operator="between" showDropDown="false" showErrorMessage="false" showInputMessage="false" sqref="E32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6" min="13" style="0" width="12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2" min="22" style="0" width="40"/>
  </cols>
  <sheetData>
    <row r="1" customFormat="false" ht="19.7" hidden="false" customHeight="false" outlineLevel="0" collapsed="false">
      <c r="A1" s="8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9" t="s">
        <v>181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31.5" hidden="false" customHeight="true" outlineLevel="0" collapsed="false">
      <c r="A4" s="43" t="s">
        <v>182</v>
      </c>
      <c r="B4" s="43" t="s">
        <v>183</v>
      </c>
      <c r="C4" s="43" t="s">
        <v>136</v>
      </c>
      <c r="D4" s="43" t="s">
        <v>142</v>
      </c>
      <c r="E4" s="43" t="s">
        <v>143</v>
      </c>
      <c r="F4" s="43" t="s">
        <v>144</v>
      </c>
      <c r="G4" s="43" t="s">
        <v>184</v>
      </c>
      <c r="H4" s="43" t="s">
        <v>185</v>
      </c>
      <c r="I4" s="43" t="s">
        <v>186</v>
      </c>
      <c r="J4" s="43" t="s">
        <v>187</v>
      </c>
      <c r="K4" s="43" t="s">
        <v>188</v>
      </c>
      <c r="L4" s="43" t="s">
        <v>189</v>
      </c>
      <c r="M4" s="43" t="s">
        <v>190</v>
      </c>
      <c r="N4" s="43" t="s">
        <v>191</v>
      </c>
      <c r="O4" s="43" t="s">
        <v>192</v>
      </c>
      <c r="P4" s="43" t="s">
        <v>193</v>
      </c>
      <c r="Q4" s="43" t="s">
        <v>64</v>
      </c>
      <c r="R4" s="43" t="s">
        <v>73</v>
      </c>
      <c r="S4" s="43" t="s">
        <v>194</v>
      </c>
      <c r="T4" s="43" t="s">
        <v>195</v>
      </c>
      <c r="U4" s="43" t="s">
        <v>196</v>
      </c>
      <c r="V4" s="43" t="s">
        <v>197</v>
      </c>
    </row>
    <row r="5" customFormat="false" ht="15" hidden="false" customHeight="false" outlineLevel="0" collapsed="false">
      <c r="A5" s="10" t="str">
        <f aca="false">IF(B5="","","Q-"&amp;TEXT(ROW()-4,"000"))</f>
        <v>Q-001</v>
      </c>
      <c r="B5" s="53" t="n">
        <v>46269</v>
      </c>
      <c r="C5" s="52" t="s">
        <v>137</v>
      </c>
      <c r="D5" s="52" t="s">
        <v>149</v>
      </c>
      <c r="E5" s="52" t="s">
        <v>198</v>
      </c>
      <c r="F5" s="52" t="n">
        <v>8</v>
      </c>
      <c r="G5" s="53" t="n">
        <v>46279</v>
      </c>
      <c r="H5" s="52" t="s">
        <v>199</v>
      </c>
      <c r="I5" s="55" t="n">
        <v>6.4</v>
      </c>
      <c r="J5" s="55" t="n">
        <v>18</v>
      </c>
      <c r="K5" s="56" t="n">
        <f aca="false">IF(OR(F5="",I5=""),"",F5*I5+N(J5))</f>
        <v>69.2</v>
      </c>
      <c r="L5" s="61" t="n">
        <f aca="false">IF(K5="","",INDEX(Settings!$B$14:$B$18,MATCH(K5,Settings!$A$14:$A$18,1)))</f>
        <v>0.35</v>
      </c>
      <c r="M5" s="56" t="n">
        <f aca="false">IF(K5="","",CEILING(MAX(K5*(1+L5),K5+Settings!$B$5)/(1-Settings!$B$4),Settings!$B$6))</f>
        <v>125</v>
      </c>
      <c r="N5" s="55"/>
      <c r="O5" s="56" t="n">
        <f aca="false">IF(K5="","",IF(N5="",M5,N5))</f>
        <v>125</v>
      </c>
      <c r="P5" s="56" t="n">
        <f aca="false">IF(O5="","",O5*(1-Settings!$B$4)-K5)</f>
        <v>52.05</v>
      </c>
      <c r="Q5" s="61" t="n">
        <f aca="false">IF(OR(O5="",O5=0),"",P5/O5)</f>
        <v>0.4164</v>
      </c>
      <c r="R5" s="52" t="s">
        <v>88</v>
      </c>
      <c r="S5" s="65" t="str">
        <f aca="false">IF(OR(B5="",R5="Paid",R5="Lost",R5="Shipped"),"",B5+Settings!$B$8)</f>
        <v/>
      </c>
      <c r="T5" s="10" t="str">
        <f aca="true">IF(OR(B5="",R5="Paid",R5="Lost"),"",TODAY()-B5)</f>
        <v/>
      </c>
      <c r="U5" s="53" t="n">
        <v>46281</v>
      </c>
      <c r="V5" s="66" t="s">
        <v>200</v>
      </c>
    </row>
    <row r="6" customFormat="false" ht="15" hidden="false" customHeight="false" outlineLevel="0" collapsed="false">
      <c r="A6" s="10" t="str">
        <f aca="false">IF(B6="","","Q-"&amp;TEXT(ROW()-4,"000"))</f>
        <v>Q-002</v>
      </c>
      <c r="B6" s="53" t="n">
        <v>46297</v>
      </c>
      <c r="C6" s="52" t="s">
        <v>201</v>
      </c>
      <c r="D6" s="52" t="s">
        <v>202</v>
      </c>
      <c r="E6" s="52" t="s">
        <v>203</v>
      </c>
      <c r="F6" s="52" t="n">
        <v>1</v>
      </c>
      <c r="G6" s="53" t="n">
        <v>46314</v>
      </c>
      <c r="H6" s="52" t="s">
        <v>204</v>
      </c>
      <c r="I6" s="55" t="n">
        <v>1180</v>
      </c>
      <c r="J6" s="55" t="n">
        <v>45</v>
      </c>
      <c r="K6" s="56" t="n">
        <f aca="false">IF(OR(F6="",I6=""),"",F6*I6+N(J6))</f>
        <v>1225</v>
      </c>
      <c r="L6" s="61" t="n">
        <f aca="false">IF(K6="","",INDEX(Settings!$B$14:$B$18,MATCH(K6,Settings!$A$14:$A$18,1)))</f>
        <v>0.25</v>
      </c>
      <c r="M6" s="56" t="n">
        <f aca="false">IF(K6="","",CEILING(MAX(K6*(1+L6),K6+Settings!$B$5)/(1-Settings!$B$4),Settings!$B$6))</f>
        <v>1580</v>
      </c>
      <c r="N6" s="55" t="n">
        <v>1650</v>
      </c>
      <c r="O6" s="56" t="n">
        <f aca="false">IF(K6="","",IF(N6="",M6,N6))</f>
        <v>1650</v>
      </c>
      <c r="P6" s="56" t="n">
        <f aca="false">IF(O6="","",O6*(1-Settings!$B$4)-K6)</f>
        <v>375.5</v>
      </c>
      <c r="Q6" s="61" t="n">
        <f aca="false">IF(OR(O6="",O6=0),"",P6/O6)</f>
        <v>0.227575757575758</v>
      </c>
      <c r="R6" s="52" t="s">
        <v>86</v>
      </c>
      <c r="S6" s="65" t="str">
        <f aca="false">IF(OR(B6="",R6="Paid",R6="Lost",R6="Shipped"),"",B6+Settings!$B$8)</f>
        <v/>
      </c>
      <c r="T6" s="10" t="n">
        <f aca="true">IF(OR(B6="",R6="Paid",R6="Lost"),"",TODAY()-B6)</f>
        <v>12</v>
      </c>
      <c r="U6" s="53"/>
      <c r="V6" s="66" t="s">
        <v>205</v>
      </c>
    </row>
    <row r="7" customFormat="false" ht="15" hidden="false" customHeight="false" outlineLevel="0" collapsed="false">
      <c r="A7" s="10" t="str">
        <f aca="false">IF(B7="","","Q-"&amp;TEXT(ROW()-4,"000"))</f>
        <v>Q-003</v>
      </c>
      <c r="B7" s="53" t="n">
        <v>46305</v>
      </c>
      <c r="C7" s="52" t="s">
        <v>137</v>
      </c>
      <c r="D7" s="52" t="s">
        <v>151</v>
      </c>
      <c r="E7" s="52" t="s">
        <v>206</v>
      </c>
      <c r="F7" s="52" t="n">
        <v>2</v>
      </c>
      <c r="G7" s="53" t="n">
        <v>46323</v>
      </c>
      <c r="H7" s="52" t="s">
        <v>199</v>
      </c>
      <c r="I7" s="55" t="n">
        <v>74</v>
      </c>
      <c r="J7" s="55" t="n">
        <v>15</v>
      </c>
      <c r="K7" s="56" t="n">
        <f aca="false">IF(OR(F7="",I7=""),"",F7*I7+N(J7))</f>
        <v>163</v>
      </c>
      <c r="L7" s="61" t="n">
        <f aca="false">IF(K7="","",INDEX(Settings!$B$14:$B$18,MATCH(K7,Settings!$A$14:$A$18,1)))</f>
        <v>0.35</v>
      </c>
      <c r="M7" s="56" t="n">
        <f aca="false">IF(K7="","",CEILING(MAX(K7*(1+L7),K7+Settings!$B$5)/(1-Settings!$B$4),Settings!$B$6))</f>
        <v>230</v>
      </c>
      <c r="N7" s="55"/>
      <c r="O7" s="56" t="n">
        <f aca="false">IF(K7="","",IF(N7="",M7,N7))</f>
        <v>230</v>
      </c>
      <c r="P7" s="56" t="n">
        <f aca="false">IF(O7="","",O7*(1-Settings!$B$4)-K7)</f>
        <v>60.1</v>
      </c>
      <c r="Q7" s="61" t="n">
        <f aca="false">IF(OR(O7="",O7=0),"",P7/O7)</f>
        <v>0.261304347826087</v>
      </c>
      <c r="R7" s="52" t="s">
        <v>81</v>
      </c>
      <c r="S7" s="65" t="n">
        <f aca="false">IF(OR(B7="",R7="Paid",R7="Lost",R7="Shipped"),"",B7+Settings!$B$8)</f>
        <v>46308</v>
      </c>
      <c r="T7" s="10" t="n">
        <f aca="true">IF(OR(B7="",R7="Paid",R7="Lost"),"",TODAY()-B7)</f>
        <v>4</v>
      </c>
      <c r="U7" s="53"/>
      <c r="V7" s="66" t="s">
        <v>207</v>
      </c>
    </row>
    <row r="8" customFormat="false" ht="15" hidden="false" customHeight="false" outlineLevel="0" collapsed="false">
      <c r="A8" s="10" t="str">
        <f aca="false">IF(B8="","","Q-"&amp;TEXT(ROW()-4,"000"))</f>
        <v/>
      </c>
      <c r="B8" s="53"/>
      <c r="C8" s="52"/>
      <c r="D8" s="52"/>
      <c r="E8" s="52"/>
      <c r="F8" s="52"/>
      <c r="G8" s="53"/>
      <c r="H8" s="52"/>
      <c r="I8" s="55"/>
      <c r="J8" s="55"/>
      <c r="K8" s="56" t="str">
        <f aca="false">IF(OR(F8="",I8=""),"",F8*I8+N(J8))</f>
        <v/>
      </c>
      <c r="L8" s="61" t="str">
        <f aca="false">IF(K8="","",INDEX(Settings!$B$14:$B$18,MATCH(K8,Settings!$A$14:$A$18,1)))</f>
        <v/>
      </c>
      <c r="M8" s="56" t="str">
        <f aca="false">IF(K8="","",CEILING(MAX(K8*(1+L8),K8+Settings!$B$5)/(1-Settings!$B$4),Settings!$B$6))</f>
        <v/>
      </c>
      <c r="N8" s="55"/>
      <c r="O8" s="56" t="str">
        <f aca="false">IF(K8="","",IF(N8="",M8,N8))</f>
        <v/>
      </c>
      <c r="P8" s="56" t="str">
        <f aca="false">IF(O8="","",O8*(1-Settings!$B$4)-K8)</f>
        <v/>
      </c>
      <c r="Q8" s="61" t="str">
        <f aca="false">IF(OR(O8="",O8=0),"",P8/O8)</f>
        <v/>
      </c>
      <c r="R8" s="52"/>
      <c r="S8" s="65" t="str">
        <f aca="false">IF(OR(B8="",R8="Paid",R8="Lost",R8="Shipped"),"",B8+Settings!$B$8)</f>
        <v/>
      </c>
      <c r="T8" s="10" t="str">
        <f aca="true">IF(OR(B8="",R8="Paid",R8="Lost"),"",TODAY()-B8)</f>
        <v/>
      </c>
      <c r="U8" s="53"/>
      <c r="V8" s="66"/>
    </row>
    <row r="9" customFormat="false" ht="15" hidden="false" customHeight="false" outlineLevel="0" collapsed="false">
      <c r="A9" s="10" t="str">
        <f aca="false">IF(B9="","","Q-"&amp;TEXT(ROW()-4,"000"))</f>
        <v/>
      </c>
      <c r="B9" s="53"/>
      <c r="C9" s="52"/>
      <c r="D9" s="52"/>
      <c r="E9" s="52"/>
      <c r="F9" s="52"/>
      <c r="G9" s="53"/>
      <c r="H9" s="52"/>
      <c r="I9" s="55"/>
      <c r="J9" s="55"/>
      <c r="K9" s="56" t="str">
        <f aca="false">IF(OR(F9="",I9=""),"",F9*I9+N(J9))</f>
        <v/>
      </c>
      <c r="L9" s="61" t="str">
        <f aca="false">IF(K9="","",INDEX(Settings!$B$14:$B$18,MATCH(K9,Settings!$A$14:$A$18,1)))</f>
        <v/>
      </c>
      <c r="M9" s="56" t="str">
        <f aca="false">IF(K9="","",CEILING(MAX(K9*(1+L9),K9+Settings!$B$5)/(1-Settings!$B$4),Settings!$B$6))</f>
        <v/>
      </c>
      <c r="N9" s="55"/>
      <c r="O9" s="56" t="str">
        <f aca="false">IF(K9="","",IF(N9="",M9,N9))</f>
        <v/>
      </c>
      <c r="P9" s="56" t="str">
        <f aca="false">IF(O9="","",O9*(1-Settings!$B$4)-K9)</f>
        <v/>
      </c>
      <c r="Q9" s="61" t="str">
        <f aca="false">IF(OR(O9="",O9=0),"",P9/O9)</f>
        <v/>
      </c>
      <c r="R9" s="52"/>
      <c r="S9" s="65" t="str">
        <f aca="false">IF(OR(B9="",R9="Paid",R9="Lost",R9="Shipped"),"",B9+Settings!$B$8)</f>
        <v/>
      </c>
      <c r="T9" s="10" t="str">
        <f aca="true">IF(OR(B9="",R9="Paid",R9="Lost"),"",TODAY()-B9)</f>
        <v/>
      </c>
      <c r="U9" s="53"/>
      <c r="V9" s="66"/>
    </row>
    <row r="10" customFormat="false" ht="15" hidden="false" customHeight="false" outlineLevel="0" collapsed="false">
      <c r="A10" s="10" t="str">
        <f aca="false">IF(B10="","","Q-"&amp;TEXT(ROW()-4,"000"))</f>
        <v/>
      </c>
      <c r="B10" s="53"/>
      <c r="C10" s="52"/>
      <c r="D10" s="52"/>
      <c r="E10" s="52"/>
      <c r="F10" s="52"/>
      <c r="G10" s="53"/>
      <c r="H10" s="52"/>
      <c r="I10" s="55"/>
      <c r="J10" s="55"/>
      <c r="K10" s="56" t="str">
        <f aca="false">IF(OR(F10="",I10=""),"",F10*I10+N(J10))</f>
        <v/>
      </c>
      <c r="L10" s="61" t="str">
        <f aca="false">IF(K10="","",INDEX(Settings!$B$14:$B$18,MATCH(K10,Settings!$A$14:$A$18,1)))</f>
        <v/>
      </c>
      <c r="M10" s="56" t="str">
        <f aca="false">IF(K10="","",CEILING(MAX(K10*(1+L10),K10+Settings!$B$5)/(1-Settings!$B$4),Settings!$B$6))</f>
        <v/>
      </c>
      <c r="N10" s="55"/>
      <c r="O10" s="56" t="str">
        <f aca="false">IF(K10="","",IF(N10="",M10,N10))</f>
        <v/>
      </c>
      <c r="P10" s="56" t="str">
        <f aca="false">IF(O10="","",O10*(1-Settings!$B$4)-K10)</f>
        <v/>
      </c>
      <c r="Q10" s="61" t="str">
        <f aca="false">IF(OR(O10="",O10=0),"",P10/O10)</f>
        <v/>
      </c>
      <c r="R10" s="52"/>
      <c r="S10" s="65" t="str">
        <f aca="false">IF(OR(B10="",R10="Paid",R10="Lost",R10="Shipped"),"",B10+Settings!$B$8)</f>
        <v/>
      </c>
      <c r="T10" s="10" t="str">
        <f aca="true">IF(OR(B10="",R10="Paid",R10="Lost"),"",TODAY()-B10)</f>
        <v/>
      </c>
      <c r="U10" s="53"/>
      <c r="V10" s="66"/>
    </row>
    <row r="11" customFormat="false" ht="15" hidden="false" customHeight="false" outlineLevel="0" collapsed="false">
      <c r="A11" s="10" t="str">
        <f aca="false">IF(B11="","","Q-"&amp;TEXT(ROW()-4,"000"))</f>
        <v/>
      </c>
      <c r="B11" s="53"/>
      <c r="C11" s="52"/>
      <c r="D11" s="52"/>
      <c r="E11" s="52"/>
      <c r="F11" s="52"/>
      <c r="G11" s="53"/>
      <c r="H11" s="52"/>
      <c r="I11" s="55"/>
      <c r="J11" s="55"/>
      <c r="K11" s="56" t="str">
        <f aca="false">IF(OR(F11="",I11=""),"",F11*I11+N(J11))</f>
        <v/>
      </c>
      <c r="L11" s="61" t="str">
        <f aca="false">IF(K11="","",INDEX(Settings!$B$14:$B$18,MATCH(K11,Settings!$A$14:$A$18,1)))</f>
        <v/>
      </c>
      <c r="M11" s="56" t="str">
        <f aca="false">IF(K11="","",CEILING(MAX(K11*(1+L11),K11+Settings!$B$5)/(1-Settings!$B$4),Settings!$B$6))</f>
        <v/>
      </c>
      <c r="N11" s="55"/>
      <c r="O11" s="56" t="str">
        <f aca="false">IF(K11="","",IF(N11="",M11,N11))</f>
        <v/>
      </c>
      <c r="P11" s="56" t="str">
        <f aca="false">IF(O11="","",O11*(1-Settings!$B$4)-K11)</f>
        <v/>
      </c>
      <c r="Q11" s="61" t="str">
        <f aca="false">IF(OR(O11="",O11=0),"",P11/O11)</f>
        <v/>
      </c>
      <c r="R11" s="52"/>
      <c r="S11" s="65" t="str">
        <f aca="false">IF(OR(B11="",R11="Paid",R11="Lost",R11="Shipped"),"",B11+Settings!$B$8)</f>
        <v/>
      </c>
      <c r="T11" s="10" t="str">
        <f aca="true">IF(OR(B11="",R11="Paid",R11="Lost"),"",TODAY()-B11)</f>
        <v/>
      </c>
      <c r="U11" s="53"/>
      <c r="V11" s="66"/>
    </row>
    <row r="12" customFormat="false" ht="15" hidden="false" customHeight="false" outlineLevel="0" collapsed="false">
      <c r="A12" s="10" t="str">
        <f aca="false">IF(B12="","","Q-"&amp;TEXT(ROW()-4,"000"))</f>
        <v/>
      </c>
      <c r="B12" s="53"/>
      <c r="C12" s="52"/>
      <c r="D12" s="52"/>
      <c r="E12" s="52"/>
      <c r="F12" s="52"/>
      <c r="G12" s="53"/>
      <c r="H12" s="52"/>
      <c r="I12" s="55"/>
      <c r="J12" s="55"/>
      <c r="K12" s="56" t="str">
        <f aca="false">IF(OR(F12="",I12=""),"",F12*I12+N(J12))</f>
        <v/>
      </c>
      <c r="L12" s="61" t="str">
        <f aca="false">IF(K12="","",INDEX(Settings!$B$14:$B$18,MATCH(K12,Settings!$A$14:$A$18,1)))</f>
        <v/>
      </c>
      <c r="M12" s="56" t="str">
        <f aca="false">IF(K12="","",CEILING(MAX(K12*(1+L12),K12+Settings!$B$5)/(1-Settings!$B$4),Settings!$B$6))</f>
        <v/>
      </c>
      <c r="N12" s="55"/>
      <c r="O12" s="56" t="str">
        <f aca="false">IF(K12="","",IF(N12="",M12,N12))</f>
        <v/>
      </c>
      <c r="P12" s="56" t="str">
        <f aca="false">IF(O12="","",O12*(1-Settings!$B$4)-K12)</f>
        <v/>
      </c>
      <c r="Q12" s="61" t="str">
        <f aca="false">IF(OR(O12="",O12=0),"",P12/O12)</f>
        <v/>
      </c>
      <c r="R12" s="52"/>
      <c r="S12" s="65" t="str">
        <f aca="false">IF(OR(B12="",R12="Paid",R12="Lost",R12="Shipped"),"",B12+Settings!$B$8)</f>
        <v/>
      </c>
      <c r="T12" s="10" t="str">
        <f aca="true">IF(OR(B12="",R12="Paid",R12="Lost"),"",TODAY()-B12)</f>
        <v/>
      </c>
      <c r="U12" s="53"/>
      <c r="V12" s="66"/>
    </row>
    <row r="13" customFormat="false" ht="15" hidden="false" customHeight="false" outlineLevel="0" collapsed="false">
      <c r="A13" s="10" t="str">
        <f aca="false">IF(B13="","","Q-"&amp;TEXT(ROW()-4,"000"))</f>
        <v/>
      </c>
      <c r="B13" s="53"/>
      <c r="C13" s="52"/>
      <c r="D13" s="52"/>
      <c r="E13" s="52"/>
      <c r="F13" s="52"/>
      <c r="G13" s="53"/>
      <c r="H13" s="52"/>
      <c r="I13" s="55"/>
      <c r="J13" s="55"/>
      <c r="K13" s="56" t="str">
        <f aca="false">IF(OR(F13="",I13=""),"",F13*I13+N(J13))</f>
        <v/>
      </c>
      <c r="L13" s="61" t="str">
        <f aca="false">IF(K13="","",INDEX(Settings!$B$14:$B$18,MATCH(K13,Settings!$A$14:$A$18,1)))</f>
        <v/>
      </c>
      <c r="M13" s="56" t="str">
        <f aca="false">IF(K13="","",CEILING(MAX(K13*(1+L13),K13+Settings!$B$5)/(1-Settings!$B$4),Settings!$B$6))</f>
        <v/>
      </c>
      <c r="N13" s="55"/>
      <c r="O13" s="56" t="str">
        <f aca="false">IF(K13="","",IF(N13="",M13,N13))</f>
        <v/>
      </c>
      <c r="P13" s="56" t="str">
        <f aca="false">IF(O13="","",O13*(1-Settings!$B$4)-K13)</f>
        <v/>
      </c>
      <c r="Q13" s="61" t="str">
        <f aca="false">IF(OR(O13="",O13=0),"",P13/O13)</f>
        <v/>
      </c>
      <c r="R13" s="52"/>
      <c r="S13" s="65" t="str">
        <f aca="false">IF(OR(B13="",R13="Paid",R13="Lost",R13="Shipped"),"",B13+Settings!$B$8)</f>
        <v/>
      </c>
      <c r="T13" s="10" t="str">
        <f aca="true">IF(OR(B13="",R13="Paid",R13="Lost"),"",TODAY()-B13)</f>
        <v/>
      </c>
      <c r="U13" s="53"/>
      <c r="V13" s="66"/>
    </row>
    <row r="14" customFormat="false" ht="15" hidden="false" customHeight="false" outlineLevel="0" collapsed="false">
      <c r="A14" s="10" t="str">
        <f aca="false">IF(B14="","","Q-"&amp;TEXT(ROW()-4,"000"))</f>
        <v/>
      </c>
      <c r="B14" s="53"/>
      <c r="C14" s="52"/>
      <c r="D14" s="52"/>
      <c r="E14" s="52"/>
      <c r="F14" s="52"/>
      <c r="G14" s="53"/>
      <c r="H14" s="52"/>
      <c r="I14" s="55"/>
      <c r="J14" s="55"/>
      <c r="K14" s="56" t="str">
        <f aca="false">IF(OR(F14="",I14=""),"",F14*I14+N(J14))</f>
        <v/>
      </c>
      <c r="L14" s="61" t="str">
        <f aca="false">IF(K14="","",INDEX(Settings!$B$14:$B$18,MATCH(K14,Settings!$A$14:$A$18,1)))</f>
        <v/>
      </c>
      <c r="M14" s="56" t="str">
        <f aca="false">IF(K14="","",CEILING(MAX(K14*(1+L14),K14+Settings!$B$5)/(1-Settings!$B$4),Settings!$B$6))</f>
        <v/>
      </c>
      <c r="N14" s="55"/>
      <c r="O14" s="56" t="str">
        <f aca="false">IF(K14="","",IF(N14="",M14,N14))</f>
        <v/>
      </c>
      <c r="P14" s="56" t="str">
        <f aca="false">IF(O14="","",O14*(1-Settings!$B$4)-K14)</f>
        <v/>
      </c>
      <c r="Q14" s="61" t="str">
        <f aca="false">IF(OR(O14="",O14=0),"",P14/O14)</f>
        <v/>
      </c>
      <c r="R14" s="52"/>
      <c r="S14" s="65" t="str">
        <f aca="false">IF(OR(B14="",R14="Paid",R14="Lost",R14="Shipped"),"",B14+Settings!$B$8)</f>
        <v/>
      </c>
      <c r="T14" s="10" t="str">
        <f aca="true">IF(OR(B14="",R14="Paid",R14="Lost"),"",TODAY()-B14)</f>
        <v/>
      </c>
      <c r="U14" s="53"/>
      <c r="V14" s="66"/>
    </row>
    <row r="15" customFormat="false" ht="15" hidden="false" customHeight="false" outlineLevel="0" collapsed="false">
      <c r="A15" s="10" t="str">
        <f aca="false">IF(B15="","","Q-"&amp;TEXT(ROW()-4,"000"))</f>
        <v/>
      </c>
      <c r="B15" s="53"/>
      <c r="C15" s="52"/>
      <c r="D15" s="52"/>
      <c r="E15" s="52"/>
      <c r="F15" s="52"/>
      <c r="G15" s="53"/>
      <c r="H15" s="52"/>
      <c r="I15" s="55"/>
      <c r="J15" s="55"/>
      <c r="K15" s="56" t="str">
        <f aca="false">IF(OR(F15="",I15=""),"",F15*I15+N(J15))</f>
        <v/>
      </c>
      <c r="L15" s="61" t="str">
        <f aca="false">IF(K15="","",INDEX(Settings!$B$14:$B$18,MATCH(K15,Settings!$A$14:$A$18,1)))</f>
        <v/>
      </c>
      <c r="M15" s="56" t="str">
        <f aca="false">IF(K15="","",CEILING(MAX(K15*(1+L15),K15+Settings!$B$5)/(1-Settings!$B$4),Settings!$B$6))</f>
        <v/>
      </c>
      <c r="N15" s="55"/>
      <c r="O15" s="56" t="str">
        <f aca="false">IF(K15="","",IF(N15="",M15,N15))</f>
        <v/>
      </c>
      <c r="P15" s="56" t="str">
        <f aca="false">IF(O15="","",O15*(1-Settings!$B$4)-K15)</f>
        <v/>
      </c>
      <c r="Q15" s="61" t="str">
        <f aca="false">IF(OR(O15="",O15=0),"",P15/O15)</f>
        <v/>
      </c>
      <c r="R15" s="52"/>
      <c r="S15" s="65" t="str">
        <f aca="false">IF(OR(B15="",R15="Paid",R15="Lost",R15="Shipped"),"",B15+Settings!$B$8)</f>
        <v/>
      </c>
      <c r="T15" s="10" t="str">
        <f aca="true">IF(OR(B15="",R15="Paid",R15="Lost"),"",TODAY()-B15)</f>
        <v/>
      </c>
      <c r="U15" s="53"/>
      <c r="V15" s="66"/>
    </row>
    <row r="16" customFormat="false" ht="15" hidden="false" customHeight="false" outlineLevel="0" collapsed="false">
      <c r="A16" s="10" t="str">
        <f aca="false">IF(B16="","","Q-"&amp;TEXT(ROW()-4,"000"))</f>
        <v/>
      </c>
      <c r="B16" s="53"/>
      <c r="C16" s="52"/>
      <c r="D16" s="52"/>
      <c r="E16" s="52"/>
      <c r="F16" s="52"/>
      <c r="G16" s="53"/>
      <c r="H16" s="52"/>
      <c r="I16" s="55"/>
      <c r="J16" s="55"/>
      <c r="K16" s="56" t="str">
        <f aca="false">IF(OR(F16="",I16=""),"",F16*I16+N(J16))</f>
        <v/>
      </c>
      <c r="L16" s="61" t="str">
        <f aca="false">IF(K16="","",INDEX(Settings!$B$14:$B$18,MATCH(K16,Settings!$A$14:$A$18,1)))</f>
        <v/>
      </c>
      <c r="M16" s="56" t="str">
        <f aca="false">IF(K16="","",CEILING(MAX(K16*(1+L16),K16+Settings!$B$5)/(1-Settings!$B$4),Settings!$B$6))</f>
        <v/>
      </c>
      <c r="N16" s="55"/>
      <c r="O16" s="56" t="str">
        <f aca="false">IF(K16="","",IF(N16="",M16,N16))</f>
        <v/>
      </c>
      <c r="P16" s="56" t="str">
        <f aca="false">IF(O16="","",O16*(1-Settings!$B$4)-K16)</f>
        <v/>
      </c>
      <c r="Q16" s="61" t="str">
        <f aca="false">IF(OR(O16="",O16=0),"",P16/O16)</f>
        <v/>
      </c>
      <c r="R16" s="52"/>
      <c r="S16" s="65" t="str">
        <f aca="false">IF(OR(B16="",R16="Paid",R16="Lost",R16="Shipped"),"",B16+Settings!$B$8)</f>
        <v/>
      </c>
      <c r="T16" s="10" t="str">
        <f aca="true">IF(OR(B16="",R16="Paid",R16="Lost"),"",TODAY()-B16)</f>
        <v/>
      </c>
      <c r="U16" s="53"/>
      <c r="V16" s="66"/>
    </row>
    <row r="17" customFormat="false" ht="15" hidden="false" customHeight="false" outlineLevel="0" collapsed="false">
      <c r="A17" s="10" t="str">
        <f aca="false">IF(B17="","","Q-"&amp;TEXT(ROW()-4,"000"))</f>
        <v/>
      </c>
      <c r="B17" s="53"/>
      <c r="C17" s="52"/>
      <c r="D17" s="52"/>
      <c r="E17" s="52"/>
      <c r="F17" s="52"/>
      <c r="G17" s="53"/>
      <c r="H17" s="52"/>
      <c r="I17" s="55"/>
      <c r="J17" s="55"/>
      <c r="K17" s="56" t="str">
        <f aca="false">IF(OR(F17="",I17=""),"",F17*I17+N(J17))</f>
        <v/>
      </c>
      <c r="L17" s="61" t="str">
        <f aca="false">IF(K17="","",INDEX(Settings!$B$14:$B$18,MATCH(K17,Settings!$A$14:$A$18,1)))</f>
        <v/>
      </c>
      <c r="M17" s="56" t="str">
        <f aca="false">IF(K17="","",CEILING(MAX(K17*(1+L17),K17+Settings!$B$5)/(1-Settings!$B$4),Settings!$B$6))</f>
        <v/>
      </c>
      <c r="N17" s="55"/>
      <c r="O17" s="56" t="str">
        <f aca="false">IF(K17="","",IF(N17="",M17,N17))</f>
        <v/>
      </c>
      <c r="P17" s="56" t="str">
        <f aca="false">IF(O17="","",O17*(1-Settings!$B$4)-K17)</f>
        <v/>
      </c>
      <c r="Q17" s="61" t="str">
        <f aca="false">IF(OR(O17="",O17=0),"",P17/O17)</f>
        <v/>
      </c>
      <c r="R17" s="52"/>
      <c r="S17" s="65" t="str">
        <f aca="false">IF(OR(B17="",R17="Paid",R17="Lost",R17="Shipped"),"",B17+Settings!$B$8)</f>
        <v/>
      </c>
      <c r="T17" s="10" t="str">
        <f aca="true">IF(OR(B17="",R17="Paid",R17="Lost"),"",TODAY()-B17)</f>
        <v/>
      </c>
      <c r="U17" s="53"/>
      <c r="V17" s="66"/>
    </row>
    <row r="18" customFormat="false" ht="15" hidden="false" customHeight="false" outlineLevel="0" collapsed="false">
      <c r="A18" s="10" t="str">
        <f aca="false">IF(B18="","","Q-"&amp;TEXT(ROW()-4,"000"))</f>
        <v/>
      </c>
      <c r="B18" s="53"/>
      <c r="C18" s="52"/>
      <c r="D18" s="52"/>
      <c r="E18" s="52"/>
      <c r="F18" s="52"/>
      <c r="G18" s="53"/>
      <c r="H18" s="52"/>
      <c r="I18" s="55"/>
      <c r="J18" s="55"/>
      <c r="K18" s="56" t="str">
        <f aca="false">IF(OR(F18="",I18=""),"",F18*I18+N(J18))</f>
        <v/>
      </c>
      <c r="L18" s="61" t="str">
        <f aca="false">IF(K18="","",INDEX(Settings!$B$14:$B$18,MATCH(K18,Settings!$A$14:$A$18,1)))</f>
        <v/>
      </c>
      <c r="M18" s="56" t="str">
        <f aca="false">IF(K18="","",CEILING(MAX(K18*(1+L18),K18+Settings!$B$5)/(1-Settings!$B$4),Settings!$B$6))</f>
        <v/>
      </c>
      <c r="N18" s="55"/>
      <c r="O18" s="56" t="str">
        <f aca="false">IF(K18="","",IF(N18="",M18,N18))</f>
        <v/>
      </c>
      <c r="P18" s="56" t="str">
        <f aca="false">IF(O18="","",O18*(1-Settings!$B$4)-K18)</f>
        <v/>
      </c>
      <c r="Q18" s="61" t="str">
        <f aca="false">IF(OR(O18="",O18=0),"",P18/O18)</f>
        <v/>
      </c>
      <c r="R18" s="52"/>
      <c r="S18" s="65" t="str">
        <f aca="false">IF(OR(B18="",R18="Paid",R18="Lost",R18="Shipped"),"",B18+Settings!$B$8)</f>
        <v/>
      </c>
      <c r="T18" s="10" t="str">
        <f aca="true">IF(OR(B18="",R18="Paid",R18="Lost"),"",TODAY()-B18)</f>
        <v/>
      </c>
      <c r="U18" s="53"/>
      <c r="V18" s="66"/>
    </row>
    <row r="19" customFormat="false" ht="15" hidden="false" customHeight="false" outlineLevel="0" collapsed="false">
      <c r="A19" s="10" t="str">
        <f aca="false">IF(B19="","","Q-"&amp;TEXT(ROW()-4,"000"))</f>
        <v/>
      </c>
      <c r="B19" s="53"/>
      <c r="C19" s="52"/>
      <c r="D19" s="52"/>
      <c r="E19" s="52"/>
      <c r="F19" s="52"/>
      <c r="G19" s="53"/>
      <c r="H19" s="52"/>
      <c r="I19" s="55"/>
      <c r="J19" s="55"/>
      <c r="K19" s="56" t="str">
        <f aca="false">IF(OR(F19="",I19=""),"",F19*I19+N(J19))</f>
        <v/>
      </c>
      <c r="L19" s="61" t="str">
        <f aca="false">IF(K19="","",INDEX(Settings!$B$14:$B$18,MATCH(K19,Settings!$A$14:$A$18,1)))</f>
        <v/>
      </c>
      <c r="M19" s="56" t="str">
        <f aca="false">IF(K19="","",CEILING(MAX(K19*(1+L19),K19+Settings!$B$5)/(1-Settings!$B$4),Settings!$B$6))</f>
        <v/>
      </c>
      <c r="N19" s="55"/>
      <c r="O19" s="56" t="str">
        <f aca="false">IF(K19="","",IF(N19="",M19,N19))</f>
        <v/>
      </c>
      <c r="P19" s="56" t="str">
        <f aca="false">IF(O19="","",O19*(1-Settings!$B$4)-K19)</f>
        <v/>
      </c>
      <c r="Q19" s="61" t="str">
        <f aca="false">IF(OR(O19="",O19=0),"",P19/O19)</f>
        <v/>
      </c>
      <c r="R19" s="52"/>
      <c r="S19" s="65" t="str">
        <f aca="false">IF(OR(B19="",R19="Paid",R19="Lost",R19="Shipped"),"",B19+Settings!$B$8)</f>
        <v/>
      </c>
      <c r="T19" s="10" t="str">
        <f aca="true">IF(OR(B19="",R19="Paid",R19="Lost"),"",TODAY()-B19)</f>
        <v/>
      </c>
      <c r="U19" s="53"/>
      <c r="V19" s="66"/>
    </row>
    <row r="20" customFormat="false" ht="15" hidden="false" customHeight="false" outlineLevel="0" collapsed="false">
      <c r="A20" s="10" t="str">
        <f aca="false">IF(B20="","","Q-"&amp;TEXT(ROW()-4,"000"))</f>
        <v/>
      </c>
      <c r="B20" s="53"/>
      <c r="C20" s="52"/>
      <c r="D20" s="52"/>
      <c r="E20" s="52"/>
      <c r="F20" s="52"/>
      <c r="G20" s="53"/>
      <c r="H20" s="52"/>
      <c r="I20" s="55"/>
      <c r="J20" s="55"/>
      <c r="K20" s="56" t="str">
        <f aca="false">IF(OR(F20="",I20=""),"",F20*I20+N(J20))</f>
        <v/>
      </c>
      <c r="L20" s="61" t="str">
        <f aca="false">IF(K20="","",INDEX(Settings!$B$14:$B$18,MATCH(K20,Settings!$A$14:$A$18,1)))</f>
        <v/>
      </c>
      <c r="M20" s="56" t="str">
        <f aca="false">IF(K20="","",CEILING(MAX(K20*(1+L20),K20+Settings!$B$5)/(1-Settings!$B$4),Settings!$B$6))</f>
        <v/>
      </c>
      <c r="N20" s="55"/>
      <c r="O20" s="56" t="str">
        <f aca="false">IF(K20="","",IF(N20="",M20,N20))</f>
        <v/>
      </c>
      <c r="P20" s="56" t="str">
        <f aca="false">IF(O20="","",O20*(1-Settings!$B$4)-K20)</f>
        <v/>
      </c>
      <c r="Q20" s="61" t="str">
        <f aca="false">IF(OR(O20="",O20=0),"",P20/O20)</f>
        <v/>
      </c>
      <c r="R20" s="52"/>
      <c r="S20" s="65" t="str">
        <f aca="false">IF(OR(B20="",R20="Paid",R20="Lost",R20="Shipped"),"",B20+Settings!$B$8)</f>
        <v/>
      </c>
      <c r="T20" s="10" t="str">
        <f aca="true">IF(OR(B20="",R20="Paid",R20="Lost"),"",TODAY()-B20)</f>
        <v/>
      </c>
      <c r="U20" s="53"/>
      <c r="V20" s="66"/>
    </row>
    <row r="21" customFormat="false" ht="15" hidden="false" customHeight="false" outlineLevel="0" collapsed="false">
      <c r="A21" s="10" t="str">
        <f aca="false">IF(B21="","","Q-"&amp;TEXT(ROW()-4,"000"))</f>
        <v/>
      </c>
      <c r="B21" s="53"/>
      <c r="C21" s="52"/>
      <c r="D21" s="52"/>
      <c r="E21" s="52"/>
      <c r="F21" s="52"/>
      <c r="G21" s="53"/>
      <c r="H21" s="52"/>
      <c r="I21" s="55"/>
      <c r="J21" s="55"/>
      <c r="K21" s="56" t="str">
        <f aca="false">IF(OR(F21="",I21=""),"",F21*I21+N(J21))</f>
        <v/>
      </c>
      <c r="L21" s="61" t="str">
        <f aca="false">IF(K21="","",INDEX(Settings!$B$14:$B$18,MATCH(K21,Settings!$A$14:$A$18,1)))</f>
        <v/>
      </c>
      <c r="M21" s="56" t="str">
        <f aca="false">IF(K21="","",CEILING(MAX(K21*(1+L21),K21+Settings!$B$5)/(1-Settings!$B$4),Settings!$B$6))</f>
        <v/>
      </c>
      <c r="N21" s="55"/>
      <c r="O21" s="56" t="str">
        <f aca="false">IF(K21="","",IF(N21="",M21,N21))</f>
        <v/>
      </c>
      <c r="P21" s="56" t="str">
        <f aca="false">IF(O21="","",O21*(1-Settings!$B$4)-K21)</f>
        <v/>
      </c>
      <c r="Q21" s="61" t="str">
        <f aca="false">IF(OR(O21="",O21=0),"",P21/O21)</f>
        <v/>
      </c>
      <c r="R21" s="52"/>
      <c r="S21" s="65" t="str">
        <f aca="false">IF(OR(B21="",R21="Paid",R21="Lost",R21="Shipped"),"",B21+Settings!$B$8)</f>
        <v/>
      </c>
      <c r="T21" s="10" t="str">
        <f aca="true">IF(OR(B21="",R21="Paid",R21="Lost"),"",TODAY()-B21)</f>
        <v/>
      </c>
      <c r="U21" s="53"/>
      <c r="V21" s="66"/>
    </row>
    <row r="22" customFormat="false" ht="15" hidden="false" customHeight="false" outlineLevel="0" collapsed="false">
      <c r="A22" s="10" t="str">
        <f aca="false">IF(B22="","","Q-"&amp;TEXT(ROW()-4,"000"))</f>
        <v/>
      </c>
      <c r="B22" s="53"/>
      <c r="C22" s="52"/>
      <c r="D22" s="52"/>
      <c r="E22" s="52"/>
      <c r="F22" s="52"/>
      <c r="G22" s="53"/>
      <c r="H22" s="52"/>
      <c r="I22" s="55"/>
      <c r="J22" s="55"/>
      <c r="K22" s="56" t="str">
        <f aca="false">IF(OR(F22="",I22=""),"",F22*I22+N(J22))</f>
        <v/>
      </c>
      <c r="L22" s="61" t="str">
        <f aca="false">IF(K22="","",INDEX(Settings!$B$14:$B$18,MATCH(K22,Settings!$A$14:$A$18,1)))</f>
        <v/>
      </c>
      <c r="M22" s="56" t="str">
        <f aca="false">IF(K22="","",CEILING(MAX(K22*(1+L22),K22+Settings!$B$5)/(1-Settings!$B$4),Settings!$B$6))</f>
        <v/>
      </c>
      <c r="N22" s="55"/>
      <c r="O22" s="56" t="str">
        <f aca="false">IF(K22="","",IF(N22="",M22,N22))</f>
        <v/>
      </c>
      <c r="P22" s="56" t="str">
        <f aca="false">IF(O22="","",O22*(1-Settings!$B$4)-K22)</f>
        <v/>
      </c>
      <c r="Q22" s="61" t="str">
        <f aca="false">IF(OR(O22="",O22=0),"",P22/O22)</f>
        <v/>
      </c>
      <c r="R22" s="52"/>
      <c r="S22" s="65" t="str">
        <f aca="false">IF(OR(B22="",R22="Paid",R22="Lost",R22="Shipped"),"",B22+Settings!$B$8)</f>
        <v/>
      </c>
      <c r="T22" s="10" t="str">
        <f aca="true">IF(OR(B22="",R22="Paid",R22="Lost"),"",TODAY()-B22)</f>
        <v/>
      </c>
      <c r="U22" s="53"/>
      <c r="V22" s="66"/>
    </row>
    <row r="23" customFormat="false" ht="15" hidden="false" customHeight="false" outlineLevel="0" collapsed="false">
      <c r="A23" s="10" t="str">
        <f aca="false">IF(B23="","","Q-"&amp;TEXT(ROW()-4,"000"))</f>
        <v/>
      </c>
      <c r="B23" s="53"/>
      <c r="C23" s="52"/>
      <c r="D23" s="52"/>
      <c r="E23" s="52"/>
      <c r="F23" s="52"/>
      <c r="G23" s="53"/>
      <c r="H23" s="52"/>
      <c r="I23" s="55"/>
      <c r="J23" s="55"/>
      <c r="K23" s="56" t="str">
        <f aca="false">IF(OR(F23="",I23=""),"",F23*I23+N(J23))</f>
        <v/>
      </c>
      <c r="L23" s="61" t="str">
        <f aca="false">IF(K23="","",INDEX(Settings!$B$14:$B$18,MATCH(K23,Settings!$A$14:$A$18,1)))</f>
        <v/>
      </c>
      <c r="M23" s="56" t="str">
        <f aca="false">IF(K23="","",CEILING(MAX(K23*(1+L23),K23+Settings!$B$5)/(1-Settings!$B$4),Settings!$B$6))</f>
        <v/>
      </c>
      <c r="N23" s="55"/>
      <c r="O23" s="56" t="str">
        <f aca="false">IF(K23="","",IF(N23="",M23,N23))</f>
        <v/>
      </c>
      <c r="P23" s="56" t="str">
        <f aca="false">IF(O23="","",O23*(1-Settings!$B$4)-K23)</f>
        <v/>
      </c>
      <c r="Q23" s="61" t="str">
        <f aca="false">IF(OR(O23="",O23=0),"",P23/O23)</f>
        <v/>
      </c>
      <c r="R23" s="52"/>
      <c r="S23" s="65" t="str">
        <f aca="false">IF(OR(B23="",R23="Paid",R23="Lost",R23="Shipped"),"",B23+Settings!$B$8)</f>
        <v/>
      </c>
      <c r="T23" s="10" t="str">
        <f aca="true">IF(OR(B23="",R23="Paid",R23="Lost"),"",TODAY()-B23)</f>
        <v/>
      </c>
      <c r="U23" s="53"/>
      <c r="V23" s="66"/>
    </row>
    <row r="24" customFormat="false" ht="15" hidden="false" customHeight="false" outlineLevel="0" collapsed="false">
      <c r="A24" s="10" t="str">
        <f aca="false">IF(B24="","","Q-"&amp;TEXT(ROW()-4,"000"))</f>
        <v/>
      </c>
      <c r="B24" s="53"/>
      <c r="C24" s="52"/>
      <c r="D24" s="52"/>
      <c r="E24" s="52"/>
      <c r="F24" s="52"/>
      <c r="G24" s="53"/>
      <c r="H24" s="52"/>
      <c r="I24" s="55"/>
      <c r="J24" s="55"/>
      <c r="K24" s="56" t="str">
        <f aca="false">IF(OR(F24="",I24=""),"",F24*I24+N(J24))</f>
        <v/>
      </c>
      <c r="L24" s="61" t="str">
        <f aca="false">IF(K24="","",INDEX(Settings!$B$14:$B$18,MATCH(K24,Settings!$A$14:$A$18,1)))</f>
        <v/>
      </c>
      <c r="M24" s="56" t="str">
        <f aca="false">IF(K24="","",CEILING(MAX(K24*(1+L24),K24+Settings!$B$5)/(1-Settings!$B$4),Settings!$B$6))</f>
        <v/>
      </c>
      <c r="N24" s="55"/>
      <c r="O24" s="56" t="str">
        <f aca="false">IF(K24="","",IF(N24="",M24,N24))</f>
        <v/>
      </c>
      <c r="P24" s="56" t="str">
        <f aca="false">IF(O24="","",O24*(1-Settings!$B$4)-K24)</f>
        <v/>
      </c>
      <c r="Q24" s="61" t="str">
        <f aca="false">IF(OR(O24="",O24=0),"",P24/O24)</f>
        <v/>
      </c>
      <c r="R24" s="52"/>
      <c r="S24" s="65" t="str">
        <f aca="false">IF(OR(B24="",R24="Paid",R24="Lost",R24="Shipped"),"",B24+Settings!$B$8)</f>
        <v/>
      </c>
      <c r="T24" s="10" t="str">
        <f aca="true">IF(OR(B24="",R24="Paid",R24="Lost"),"",TODAY()-B24)</f>
        <v/>
      </c>
      <c r="U24" s="53"/>
      <c r="V24" s="66"/>
    </row>
    <row r="25" customFormat="false" ht="15" hidden="false" customHeight="false" outlineLevel="0" collapsed="false">
      <c r="A25" s="10" t="str">
        <f aca="false">IF(B25="","","Q-"&amp;TEXT(ROW()-4,"000"))</f>
        <v/>
      </c>
      <c r="B25" s="53"/>
      <c r="C25" s="52"/>
      <c r="D25" s="52"/>
      <c r="E25" s="52"/>
      <c r="F25" s="52"/>
      <c r="G25" s="53"/>
      <c r="H25" s="52"/>
      <c r="I25" s="55"/>
      <c r="J25" s="55"/>
      <c r="K25" s="56" t="str">
        <f aca="false">IF(OR(F25="",I25=""),"",F25*I25+N(J25))</f>
        <v/>
      </c>
      <c r="L25" s="61" t="str">
        <f aca="false">IF(K25="","",INDEX(Settings!$B$14:$B$18,MATCH(K25,Settings!$A$14:$A$18,1)))</f>
        <v/>
      </c>
      <c r="M25" s="56" t="str">
        <f aca="false">IF(K25="","",CEILING(MAX(K25*(1+L25),K25+Settings!$B$5)/(1-Settings!$B$4),Settings!$B$6))</f>
        <v/>
      </c>
      <c r="N25" s="55"/>
      <c r="O25" s="56" t="str">
        <f aca="false">IF(K25="","",IF(N25="",M25,N25))</f>
        <v/>
      </c>
      <c r="P25" s="56" t="str">
        <f aca="false">IF(O25="","",O25*(1-Settings!$B$4)-K25)</f>
        <v/>
      </c>
      <c r="Q25" s="61" t="str">
        <f aca="false">IF(OR(O25="",O25=0),"",P25/O25)</f>
        <v/>
      </c>
      <c r="R25" s="52"/>
      <c r="S25" s="65" t="str">
        <f aca="false">IF(OR(B25="",R25="Paid",R25="Lost",R25="Shipped"),"",B25+Settings!$B$8)</f>
        <v/>
      </c>
      <c r="T25" s="10" t="str">
        <f aca="true">IF(OR(B25="",R25="Paid",R25="Lost"),"",TODAY()-B25)</f>
        <v/>
      </c>
      <c r="U25" s="53"/>
      <c r="V25" s="66"/>
    </row>
    <row r="26" customFormat="false" ht="15" hidden="false" customHeight="false" outlineLevel="0" collapsed="false">
      <c r="A26" s="10" t="str">
        <f aca="false">IF(B26="","","Q-"&amp;TEXT(ROW()-4,"000"))</f>
        <v/>
      </c>
      <c r="B26" s="53"/>
      <c r="C26" s="52"/>
      <c r="D26" s="52"/>
      <c r="E26" s="52"/>
      <c r="F26" s="52"/>
      <c r="G26" s="53"/>
      <c r="H26" s="52"/>
      <c r="I26" s="55"/>
      <c r="J26" s="55"/>
      <c r="K26" s="56" t="str">
        <f aca="false">IF(OR(F26="",I26=""),"",F26*I26+N(J26))</f>
        <v/>
      </c>
      <c r="L26" s="61" t="str">
        <f aca="false">IF(K26="","",INDEX(Settings!$B$14:$B$18,MATCH(K26,Settings!$A$14:$A$18,1)))</f>
        <v/>
      </c>
      <c r="M26" s="56" t="str">
        <f aca="false">IF(K26="","",CEILING(MAX(K26*(1+L26),K26+Settings!$B$5)/(1-Settings!$B$4),Settings!$B$6))</f>
        <v/>
      </c>
      <c r="N26" s="55"/>
      <c r="O26" s="56" t="str">
        <f aca="false">IF(K26="","",IF(N26="",M26,N26))</f>
        <v/>
      </c>
      <c r="P26" s="56" t="str">
        <f aca="false">IF(O26="","",O26*(1-Settings!$B$4)-K26)</f>
        <v/>
      </c>
      <c r="Q26" s="61" t="str">
        <f aca="false">IF(OR(O26="",O26=0),"",P26/O26)</f>
        <v/>
      </c>
      <c r="R26" s="52"/>
      <c r="S26" s="65" t="str">
        <f aca="false">IF(OR(B26="",R26="Paid",R26="Lost",R26="Shipped"),"",B26+Settings!$B$8)</f>
        <v/>
      </c>
      <c r="T26" s="10" t="str">
        <f aca="true">IF(OR(B26="",R26="Paid",R26="Lost"),"",TODAY()-B26)</f>
        <v/>
      </c>
      <c r="U26" s="53"/>
      <c r="V26" s="66"/>
    </row>
    <row r="27" customFormat="false" ht="15" hidden="false" customHeight="false" outlineLevel="0" collapsed="false">
      <c r="A27" s="10" t="str">
        <f aca="false">IF(B27="","","Q-"&amp;TEXT(ROW()-4,"000"))</f>
        <v/>
      </c>
      <c r="B27" s="53"/>
      <c r="C27" s="52"/>
      <c r="D27" s="52"/>
      <c r="E27" s="52"/>
      <c r="F27" s="52"/>
      <c r="G27" s="53"/>
      <c r="H27" s="52"/>
      <c r="I27" s="55"/>
      <c r="J27" s="55"/>
      <c r="K27" s="56" t="str">
        <f aca="false">IF(OR(F27="",I27=""),"",F27*I27+N(J27))</f>
        <v/>
      </c>
      <c r="L27" s="61" t="str">
        <f aca="false">IF(K27="","",INDEX(Settings!$B$14:$B$18,MATCH(K27,Settings!$A$14:$A$18,1)))</f>
        <v/>
      </c>
      <c r="M27" s="56" t="str">
        <f aca="false">IF(K27="","",CEILING(MAX(K27*(1+L27),K27+Settings!$B$5)/(1-Settings!$B$4),Settings!$B$6))</f>
        <v/>
      </c>
      <c r="N27" s="55"/>
      <c r="O27" s="56" t="str">
        <f aca="false">IF(K27="","",IF(N27="",M27,N27))</f>
        <v/>
      </c>
      <c r="P27" s="56" t="str">
        <f aca="false">IF(O27="","",O27*(1-Settings!$B$4)-K27)</f>
        <v/>
      </c>
      <c r="Q27" s="61" t="str">
        <f aca="false">IF(OR(O27="",O27=0),"",P27/O27)</f>
        <v/>
      </c>
      <c r="R27" s="52"/>
      <c r="S27" s="65" t="str">
        <f aca="false">IF(OR(B27="",R27="Paid",R27="Lost",R27="Shipped"),"",B27+Settings!$B$8)</f>
        <v/>
      </c>
      <c r="T27" s="10" t="str">
        <f aca="true">IF(OR(B27="",R27="Paid",R27="Lost"),"",TODAY()-B27)</f>
        <v/>
      </c>
      <c r="U27" s="53"/>
      <c r="V27" s="66"/>
    </row>
    <row r="28" customFormat="false" ht="15" hidden="false" customHeight="false" outlineLevel="0" collapsed="false">
      <c r="A28" s="10" t="str">
        <f aca="false">IF(B28="","","Q-"&amp;TEXT(ROW()-4,"000"))</f>
        <v/>
      </c>
      <c r="B28" s="53"/>
      <c r="C28" s="52"/>
      <c r="D28" s="52"/>
      <c r="E28" s="52"/>
      <c r="F28" s="52"/>
      <c r="G28" s="53"/>
      <c r="H28" s="52"/>
      <c r="I28" s="55"/>
      <c r="J28" s="55"/>
      <c r="K28" s="56" t="str">
        <f aca="false">IF(OR(F28="",I28=""),"",F28*I28+N(J28))</f>
        <v/>
      </c>
      <c r="L28" s="61" t="str">
        <f aca="false">IF(K28="","",INDEX(Settings!$B$14:$B$18,MATCH(K28,Settings!$A$14:$A$18,1)))</f>
        <v/>
      </c>
      <c r="M28" s="56" t="str">
        <f aca="false">IF(K28="","",CEILING(MAX(K28*(1+L28),K28+Settings!$B$5)/(1-Settings!$B$4),Settings!$B$6))</f>
        <v/>
      </c>
      <c r="N28" s="55"/>
      <c r="O28" s="56" t="str">
        <f aca="false">IF(K28="","",IF(N28="",M28,N28))</f>
        <v/>
      </c>
      <c r="P28" s="56" t="str">
        <f aca="false">IF(O28="","",O28*(1-Settings!$B$4)-K28)</f>
        <v/>
      </c>
      <c r="Q28" s="61" t="str">
        <f aca="false">IF(OR(O28="",O28=0),"",P28/O28)</f>
        <v/>
      </c>
      <c r="R28" s="52"/>
      <c r="S28" s="65" t="str">
        <f aca="false">IF(OR(B28="",R28="Paid",R28="Lost",R28="Shipped"),"",B28+Settings!$B$8)</f>
        <v/>
      </c>
      <c r="T28" s="10" t="str">
        <f aca="true">IF(OR(B28="",R28="Paid",R28="Lost"),"",TODAY()-B28)</f>
        <v/>
      </c>
      <c r="U28" s="53"/>
      <c r="V28" s="66"/>
    </row>
    <row r="29" customFormat="false" ht="15" hidden="false" customHeight="false" outlineLevel="0" collapsed="false">
      <c r="A29" s="10" t="str">
        <f aca="false">IF(B29="","","Q-"&amp;TEXT(ROW()-4,"000"))</f>
        <v/>
      </c>
      <c r="B29" s="53"/>
      <c r="C29" s="52"/>
      <c r="D29" s="52"/>
      <c r="E29" s="52"/>
      <c r="F29" s="52"/>
      <c r="G29" s="53"/>
      <c r="H29" s="52"/>
      <c r="I29" s="55"/>
      <c r="J29" s="55"/>
      <c r="K29" s="56" t="str">
        <f aca="false">IF(OR(F29="",I29=""),"",F29*I29+N(J29))</f>
        <v/>
      </c>
      <c r="L29" s="61" t="str">
        <f aca="false">IF(K29="","",INDEX(Settings!$B$14:$B$18,MATCH(K29,Settings!$A$14:$A$18,1)))</f>
        <v/>
      </c>
      <c r="M29" s="56" t="str">
        <f aca="false">IF(K29="","",CEILING(MAX(K29*(1+L29),K29+Settings!$B$5)/(1-Settings!$B$4),Settings!$B$6))</f>
        <v/>
      </c>
      <c r="N29" s="55"/>
      <c r="O29" s="56" t="str">
        <f aca="false">IF(K29="","",IF(N29="",M29,N29))</f>
        <v/>
      </c>
      <c r="P29" s="56" t="str">
        <f aca="false">IF(O29="","",O29*(1-Settings!$B$4)-K29)</f>
        <v/>
      </c>
      <c r="Q29" s="61" t="str">
        <f aca="false">IF(OR(O29="",O29=0),"",P29/O29)</f>
        <v/>
      </c>
      <c r="R29" s="52"/>
      <c r="S29" s="65" t="str">
        <f aca="false">IF(OR(B29="",R29="Paid",R29="Lost",R29="Shipped"),"",B29+Settings!$B$8)</f>
        <v/>
      </c>
      <c r="T29" s="10" t="str">
        <f aca="true">IF(OR(B29="",R29="Paid",R29="Lost"),"",TODAY()-B29)</f>
        <v/>
      </c>
      <c r="U29" s="53"/>
      <c r="V29" s="66"/>
    </row>
    <row r="30" customFormat="false" ht="15" hidden="false" customHeight="false" outlineLevel="0" collapsed="false">
      <c r="A30" s="10" t="str">
        <f aca="false">IF(B30="","","Q-"&amp;TEXT(ROW()-4,"000"))</f>
        <v/>
      </c>
      <c r="B30" s="53"/>
      <c r="C30" s="52"/>
      <c r="D30" s="52"/>
      <c r="E30" s="52"/>
      <c r="F30" s="52"/>
      <c r="G30" s="53"/>
      <c r="H30" s="52"/>
      <c r="I30" s="55"/>
      <c r="J30" s="55"/>
      <c r="K30" s="56" t="str">
        <f aca="false">IF(OR(F30="",I30=""),"",F30*I30+N(J30))</f>
        <v/>
      </c>
      <c r="L30" s="61" t="str">
        <f aca="false">IF(K30="","",INDEX(Settings!$B$14:$B$18,MATCH(K30,Settings!$A$14:$A$18,1)))</f>
        <v/>
      </c>
      <c r="M30" s="56" t="str">
        <f aca="false">IF(K30="","",CEILING(MAX(K30*(1+L30),K30+Settings!$B$5)/(1-Settings!$B$4),Settings!$B$6))</f>
        <v/>
      </c>
      <c r="N30" s="55"/>
      <c r="O30" s="56" t="str">
        <f aca="false">IF(K30="","",IF(N30="",M30,N30))</f>
        <v/>
      </c>
      <c r="P30" s="56" t="str">
        <f aca="false">IF(O30="","",O30*(1-Settings!$B$4)-K30)</f>
        <v/>
      </c>
      <c r="Q30" s="61" t="str">
        <f aca="false">IF(OR(O30="",O30=0),"",P30/O30)</f>
        <v/>
      </c>
      <c r="R30" s="52"/>
      <c r="S30" s="65" t="str">
        <f aca="false">IF(OR(B30="",R30="Paid",R30="Lost",R30="Shipped"),"",B30+Settings!$B$8)</f>
        <v/>
      </c>
      <c r="T30" s="10" t="str">
        <f aca="true">IF(OR(B30="",R30="Paid",R30="Lost"),"",TODAY()-B30)</f>
        <v/>
      </c>
      <c r="U30" s="53"/>
      <c r="V30" s="66"/>
    </row>
    <row r="31" customFormat="false" ht="15" hidden="false" customHeight="false" outlineLevel="0" collapsed="false">
      <c r="A31" s="10" t="str">
        <f aca="false">IF(B31="","","Q-"&amp;TEXT(ROW()-4,"000"))</f>
        <v/>
      </c>
      <c r="B31" s="53"/>
      <c r="C31" s="52"/>
      <c r="D31" s="52"/>
      <c r="E31" s="52"/>
      <c r="F31" s="52"/>
      <c r="G31" s="53"/>
      <c r="H31" s="52"/>
      <c r="I31" s="55"/>
      <c r="J31" s="55"/>
      <c r="K31" s="56" t="str">
        <f aca="false">IF(OR(F31="",I31=""),"",F31*I31+N(J31))</f>
        <v/>
      </c>
      <c r="L31" s="61" t="str">
        <f aca="false">IF(K31="","",INDEX(Settings!$B$14:$B$18,MATCH(K31,Settings!$A$14:$A$18,1)))</f>
        <v/>
      </c>
      <c r="M31" s="56" t="str">
        <f aca="false">IF(K31="","",CEILING(MAX(K31*(1+L31),K31+Settings!$B$5)/(1-Settings!$B$4),Settings!$B$6))</f>
        <v/>
      </c>
      <c r="N31" s="55"/>
      <c r="O31" s="56" t="str">
        <f aca="false">IF(K31="","",IF(N31="",M31,N31))</f>
        <v/>
      </c>
      <c r="P31" s="56" t="str">
        <f aca="false">IF(O31="","",O31*(1-Settings!$B$4)-K31)</f>
        <v/>
      </c>
      <c r="Q31" s="61" t="str">
        <f aca="false">IF(OR(O31="",O31=0),"",P31/O31)</f>
        <v/>
      </c>
      <c r="R31" s="52"/>
      <c r="S31" s="65" t="str">
        <f aca="false">IF(OR(B31="",R31="Paid",R31="Lost",R31="Shipped"),"",B31+Settings!$B$8)</f>
        <v/>
      </c>
      <c r="T31" s="10" t="str">
        <f aca="true">IF(OR(B31="",R31="Paid",R31="Lost"),"",TODAY()-B31)</f>
        <v/>
      </c>
      <c r="U31" s="53"/>
      <c r="V31" s="66"/>
    </row>
    <row r="32" customFormat="false" ht="15" hidden="false" customHeight="false" outlineLevel="0" collapsed="false">
      <c r="A32" s="10" t="str">
        <f aca="false">IF(B32="","","Q-"&amp;TEXT(ROW()-4,"000"))</f>
        <v/>
      </c>
      <c r="B32" s="53"/>
      <c r="C32" s="52"/>
      <c r="D32" s="52"/>
      <c r="E32" s="52"/>
      <c r="F32" s="52"/>
      <c r="G32" s="53"/>
      <c r="H32" s="52"/>
      <c r="I32" s="55"/>
      <c r="J32" s="55"/>
      <c r="K32" s="56" t="str">
        <f aca="false">IF(OR(F32="",I32=""),"",F32*I32+N(J32))</f>
        <v/>
      </c>
      <c r="L32" s="61" t="str">
        <f aca="false">IF(K32="","",INDEX(Settings!$B$14:$B$18,MATCH(K32,Settings!$A$14:$A$18,1)))</f>
        <v/>
      </c>
      <c r="M32" s="56" t="str">
        <f aca="false">IF(K32="","",CEILING(MAX(K32*(1+L32),K32+Settings!$B$5)/(1-Settings!$B$4),Settings!$B$6))</f>
        <v/>
      </c>
      <c r="N32" s="55"/>
      <c r="O32" s="56" t="str">
        <f aca="false">IF(K32="","",IF(N32="",M32,N32))</f>
        <v/>
      </c>
      <c r="P32" s="56" t="str">
        <f aca="false">IF(O32="","",O32*(1-Settings!$B$4)-K32)</f>
        <v/>
      </c>
      <c r="Q32" s="61" t="str">
        <f aca="false">IF(OR(O32="",O32=0),"",P32/O32)</f>
        <v/>
      </c>
      <c r="R32" s="52"/>
      <c r="S32" s="65" t="str">
        <f aca="false">IF(OR(B32="",R32="Paid",R32="Lost",R32="Shipped"),"",B32+Settings!$B$8)</f>
        <v/>
      </c>
      <c r="T32" s="10" t="str">
        <f aca="true">IF(OR(B32="",R32="Paid",R32="Lost"),"",TODAY()-B32)</f>
        <v/>
      </c>
      <c r="U32" s="53"/>
      <c r="V32" s="66"/>
    </row>
    <row r="33" customFormat="false" ht="15" hidden="false" customHeight="false" outlineLevel="0" collapsed="false">
      <c r="A33" s="10" t="str">
        <f aca="false">IF(B33="","","Q-"&amp;TEXT(ROW()-4,"000"))</f>
        <v/>
      </c>
      <c r="B33" s="53"/>
      <c r="C33" s="52"/>
      <c r="D33" s="52"/>
      <c r="E33" s="52"/>
      <c r="F33" s="52"/>
      <c r="G33" s="53"/>
      <c r="H33" s="52"/>
      <c r="I33" s="55"/>
      <c r="J33" s="55"/>
      <c r="K33" s="56" t="str">
        <f aca="false">IF(OR(F33="",I33=""),"",F33*I33+N(J33))</f>
        <v/>
      </c>
      <c r="L33" s="61" t="str">
        <f aca="false">IF(K33="","",INDEX(Settings!$B$14:$B$18,MATCH(K33,Settings!$A$14:$A$18,1)))</f>
        <v/>
      </c>
      <c r="M33" s="56" t="str">
        <f aca="false">IF(K33="","",CEILING(MAX(K33*(1+L33),K33+Settings!$B$5)/(1-Settings!$B$4),Settings!$B$6))</f>
        <v/>
      </c>
      <c r="N33" s="55"/>
      <c r="O33" s="56" t="str">
        <f aca="false">IF(K33="","",IF(N33="",M33,N33))</f>
        <v/>
      </c>
      <c r="P33" s="56" t="str">
        <f aca="false">IF(O33="","",O33*(1-Settings!$B$4)-K33)</f>
        <v/>
      </c>
      <c r="Q33" s="61" t="str">
        <f aca="false">IF(OR(O33="",O33=0),"",P33/O33)</f>
        <v/>
      </c>
      <c r="R33" s="52"/>
      <c r="S33" s="65" t="str">
        <f aca="false">IF(OR(B33="",R33="Paid",R33="Lost",R33="Shipped"),"",B33+Settings!$B$8)</f>
        <v/>
      </c>
      <c r="T33" s="10" t="str">
        <f aca="true">IF(OR(B33="",R33="Paid",R33="Lost"),"",TODAY()-B33)</f>
        <v/>
      </c>
      <c r="U33" s="53"/>
      <c r="V33" s="66"/>
    </row>
    <row r="34" customFormat="false" ht="15" hidden="false" customHeight="false" outlineLevel="0" collapsed="false">
      <c r="A34" s="10" t="str">
        <f aca="false">IF(B34="","","Q-"&amp;TEXT(ROW()-4,"000"))</f>
        <v/>
      </c>
      <c r="B34" s="53"/>
      <c r="C34" s="52"/>
      <c r="D34" s="52"/>
      <c r="E34" s="52"/>
      <c r="F34" s="52"/>
      <c r="G34" s="53"/>
      <c r="H34" s="52"/>
      <c r="I34" s="55"/>
      <c r="J34" s="55"/>
      <c r="K34" s="56" t="str">
        <f aca="false">IF(OR(F34="",I34=""),"",F34*I34+N(J34))</f>
        <v/>
      </c>
      <c r="L34" s="61" t="str">
        <f aca="false">IF(K34="","",INDEX(Settings!$B$14:$B$18,MATCH(K34,Settings!$A$14:$A$18,1)))</f>
        <v/>
      </c>
      <c r="M34" s="56" t="str">
        <f aca="false">IF(K34="","",CEILING(MAX(K34*(1+L34),K34+Settings!$B$5)/(1-Settings!$B$4),Settings!$B$6))</f>
        <v/>
      </c>
      <c r="N34" s="55"/>
      <c r="O34" s="56" t="str">
        <f aca="false">IF(K34="","",IF(N34="",M34,N34))</f>
        <v/>
      </c>
      <c r="P34" s="56" t="str">
        <f aca="false">IF(O34="","",O34*(1-Settings!$B$4)-K34)</f>
        <v/>
      </c>
      <c r="Q34" s="61" t="str">
        <f aca="false">IF(OR(O34="",O34=0),"",P34/O34)</f>
        <v/>
      </c>
      <c r="R34" s="52"/>
      <c r="S34" s="65" t="str">
        <f aca="false">IF(OR(B34="",R34="Paid",R34="Lost",R34="Shipped"),"",B34+Settings!$B$8)</f>
        <v/>
      </c>
      <c r="T34" s="10" t="str">
        <f aca="true">IF(OR(B34="",R34="Paid",R34="Lost"),"",TODAY()-B34)</f>
        <v/>
      </c>
      <c r="U34" s="53"/>
      <c r="V34" s="66"/>
    </row>
    <row r="35" customFormat="false" ht="15" hidden="false" customHeight="false" outlineLevel="0" collapsed="false">
      <c r="A35" s="10" t="str">
        <f aca="false">IF(B35="","","Q-"&amp;TEXT(ROW()-4,"000"))</f>
        <v/>
      </c>
      <c r="B35" s="53"/>
      <c r="C35" s="52"/>
      <c r="D35" s="52"/>
      <c r="E35" s="52"/>
      <c r="F35" s="52"/>
      <c r="G35" s="53"/>
      <c r="H35" s="52"/>
      <c r="I35" s="55"/>
      <c r="J35" s="55"/>
      <c r="K35" s="56" t="str">
        <f aca="false">IF(OR(F35="",I35=""),"",F35*I35+N(J35))</f>
        <v/>
      </c>
      <c r="L35" s="61" t="str">
        <f aca="false">IF(K35="","",INDEX(Settings!$B$14:$B$18,MATCH(K35,Settings!$A$14:$A$18,1)))</f>
        <v/>
      </c>
      <c r="M35" s="56" t="str">
        <f aca="false">IF(K35="","",CEILING(MAX(K35*(1+L35),K35+Settings!$B$5)/(1-Settings!$B$4),Settings!$B$6))</f>
        <v/>
      </c>
      <c r="N35" s="55"/>
      <c r="O35" s="56" t="str">
        <f aca="false">IF(K35="","",IF(N35="",M35,N35))</f>
        <v/>
      </c>
      <c r="P35" s="56" t="str">
        <f aca="false">IF(O35="","",O35*(1-Settings!$B$4)-K35)</f>
        <v/>
      </c>
      <c r="Q35" s="61" t="str">
        <f aca="false">IF(OR(O35="",O35=0),"",P35/O35)</f>
        <v/>
      </c>
      <c r="R35" s="52"/>
      <c r="S35" s="65" t="str">
        <f aca="false">IF(OR(B35="",R35="Paid",R35="Lost",R35="Shipped"),"",B35+Settings!$B$8)</f>
        <v/>
      </c>
      <c r="T35" s="10" t="str">
        <f aca="true">IF(OR(B35="",R35="Paid",R35="Lost"),"",TODAY()-B35)</f>
        <v/>
      </c>
      <c r="U35" s="53"/>
      <c r="V35" s="66"/>
    </row>
    <row r="36" customFormat="false" ht="15" hidden="false" customHeight="false" outlineLevel="0" collapsed="false">
      <c r="A36" s="10" t="str">
        <f aca="false">IF(B36="","","Q-"&amp;TEXT(ROW()-4,"000"))</f>
        <v/>
      </c>
      <c r="B36" s="53"/>
      <c r="C36" s="52"/>
      <c r="D36" s="52"/>
      <c r="E36" s="52"/>
      <c r="F36" s="52"/>
      <c r="G36" s="53"/>
      <c r="H36" s="52"/>
      <c r="I36" s="55"/>
      <c r="J36" s="55"/>
      <c r="K36" s="56" t="str">
        <f aca="false">IF(OR(F36="",I36=""),"",F36*I36+N(J36))</f>
        <v/>
      </c>
      <c r="L36" s="61" t="str">
        <f aca="false">IF(K36="","",INDEX(Settings!$B$14:$B$18,MATCH(K36,Settings!$A$14:$A$18,1)))</f>
        <v/>
      </c>
      <c r="M36" s="56" t="str">
        <f aca="false">IF(K36="","",CEILING(MAX(K36*(1+L36),K36+Settings!$B$5)/(1-Settings!$B$4),Settings!$B$6))</f>
        <v/>
      </c>
      <c r="N36" s="55"/>
      <c r="O36" s="56" t="str">
        <f aca="false">IF(K36="","",IF(N36="",M36,N36))</f>
        <v/>
      </c>
      <c r="P36" s="56" t="str">
        <f aca="false">IF(O36="","",O36*(1-Settings!$B$4)-K36)</f>
        <v/>
      </c>
      <c r="Q36" s="61" t="str">
        <f aca="false">IF(OR(O36="",O36=0),"",P36/O36)</f>
        <v/>
      </c>
      <c r="R36" s="52"/>
      <c r="S36" s="65" t="str">
        <f aca="false">IF(OR(B36="",R36="Paid",R36="Lost",R36="Shipped"),"",B36+Settings!$B$8)</f>
        <v/>
      </c>
      <c r="T36" s="10" t="str">
        <f aca="true">IF(OR(B36="",R36="Paid",R36="Lost"),"",TODAY()-B36)</f>
        <v/>
      </c>
      <c r="U36" s="53"/>
      <c r="V36" s="66"/>
    </row>
    <row r="37" customFormat="false" ht="15" hidden="false" customHeight="false" outlineLevel="0" collapsed="false">
      <c r="A37" s="10" t="str">
        <f aca="false">IF(B37="","","Q-"&amp;TEXT(ROW()-4,"000"))</f>
        <v/>
      </c>
      <c r="B37" s="53"/>
      <c r="C37" s="52"/>
      <c r="D37" s="52"/>
      <c r="E37" s="52"/>
      <c r="F37" s="52"/>
      <c r="G37" s="53"/>
      <c r="H37" s="52"/>
      <c r="I37" s="55"/>
      <c r="J37" s="55"/>
      <c r="K37" s="56" t="str">
        <f aca="false">IF(OR(F37="",I37=""),"",F37*I37+N(J37))</f>
        <v/>
      </c>
      <c r="L37" s="61" t="str">
        <f aca="false">IF(K37="","",INDEX(Settings!$B$14:$B$18,MATCH(K37,Settings!$A$14:$A$18,1)))</f>
        <v/>
      </c>
      <c r="M37" s="56" t="str">
        <f aca="false">IF(K37="","",CEILING(MAX(K37*(1+L37),K37+Settings!$B$5)/(1-Settings!$B$4),Settings!$B$6))</f>
        <v/>
      </c>
      <c r="N37" s="55"/>
      <c r="O37" s="56" t="str">
        <f aca="false">IF(K37="","",IF(N37="",M37,N37))</f>
        <v/>
      </c>
      <c r="P37" s="56" t="str">
        <f aca="false">IF(O37="","",O37*(1-Settings!$B$4)-K37)</f>
        <v/>
      </c>
      <c r="Q37" s="61" t="str">
        <f aca="false">IF(OR(O37="",O37=0),"",P37/O37)</f>
        <v/>
      </c>
      <c r="R37" s="52"/>
      <c r="S37" s="65" t="str">
        <f aca="false">IF(OR(B37="",R37="Paid",R37="Lost",R37="Shipped"),"",B37+Settings!$B$8)</f>
        <v/>
      </c>
      <c r="T37" s="10" t="str">
        <f aca="true">IF(OR(B37="",R37="Paid",R37="Lost"),"",TODAY()-B37)</f>
        <v/>
      </c>
      <c r="U37" s="53"/>
      <c r="V37" s="66"/>
    </row>
    <row r="38" customFormat="false" ht="15" hidden="false" customHeight="false" outlineLevel="0" collapsed="false">
      <c r="A38" s="10" t="str">
        <f aca="false">IF(B38="","","Q-"&amp;TEXT(ROW()-4,"000"))</f>
        <v/>
      </c>
      <c r="B38" s="53"/>
      <c r="C38" s="52"/>
      <c r="D38" s="52"/>
      <c r="E38" s="52"/>
      <c r="F38" s="52"/>
      <c r="G38" s="53"/>
      <c r="H38" s="52"/>
      <c r="I38" s="55"/>
      <c r="J38" s="55"/>
      <c r="K38" s="56" t="str">
        <f aca="false">IF(OR(F38="",I38=""),"",F38*I38+N(J38))</f>
        <v/>
      </c>
      <c r="L38" s="61" t="str">
        <f aca="false">IF(K38="","",INDEX(Settings!$B$14:$B$18,MATCH(K38,Settings!$A$14:$A$18,1)))</f>
        <v/>
      </c>
      <c r="M38" s="56" t="str">
        <f aca="false">IF(K38="","",CEILING(MAX(K38*(1+L38),K38+Settings!$B$5)/(1-Settings!$B$4),Settings!$B$6))</f>
        <v/>
      </c>
      <c r="N38" s="55"/>
      <c r="O38" s="56" t="str">
        <f aca="false">IF(K38="","",IF(N38="",M38,N38))</f>
        <v/>
      </c>
      <c r="P38" s="56" t="str">
        <f aca="false">IF(O38="","",O38*(1-Settings!$B$4)-K38)</f>
        <v/>
      </c>
      <c r="Q38" s="61" t="str">
        <f aca="false">IF(OR(O38="",O38=0),"",P38/O38)</f>
        <v/>
      </c>
      <c r="R38" s="52"/>
      <c r="S38" s="65" t="str">
        <f aca="false">IF(OR(B38="",R38="Paid",R38="Lost",R38="Shipped"),"",B38+Settings!$B$8)</f>
        <v/>
      </c>
      <c r="T38" s="10" t="str">
        <f aca="true">IF(OR(B38="",R38="Paid",R38="Lost"),"",TODAY()-B38)</f>
        <v/>
      </c>
      <c r="U38" s="53"/>
      <c r="V38" s="66"/>
    </row>
    <row r="39" customFormat="false" ht="15" hidden="false" customHeight="false" outlineLevel="0" collapsed="false">
      <c r="A39" s="10" t="str">
        <f aca="false">IF(B39="","","Q-"&amp;TEXT(ROW()-4,"000"))</f>
        <v/>
      </c>
      <c r="B39" s="53"/>
      <c r="C39" s="52"/>
      <c r="D39" s="52"/>
      <c r="E39" s="52"/>
      <c r="F39" s="52"/>
      <c r="G39" s="53"/>
      <c r="H39" s="52"/>
      <c r="I39" s="55"/>
      <c r="J39" s="55"/>
      <c r="K39" s="56" t="str">
        <f aca="false">IF(OR(F39="",I39=""),"",F39*I39+N(J39))</f>
        <v/>
      </c>
      <c r="L39" s="61" t="str">
        <f aca="false">IF(K39="","",INDEX(Settings!$B$14:$B$18,MATCH(K39,Settings!$A$14:$A$18,1)))</f>
        <v/>
      </c>
      <c r="M39" s="56" t="str">
        <f aca="false">IF(K39="","",CEILING(MAX(K39*(1+L39),K39+Settings!$B$5)/(1-Settings!$B$4),Settings!$B$6))</f>
        <v/>
      </c>
      <c r="N39" s="55"/>
      <c r="O39" s="56" t="str">
        <f aca="false">IF(K39="","",IF(N39="",M39,N39))</f>
        <v/>
      </c>
      <c r="P39" s="56" t="str">
        <f aca="false">IF(O39="","",O39*(1-Settings!$B$4)-K39)</f>
        <v/>
      </c>
      <c r="Q39" s="61" t="str">
        <f aca="false">IF(OR(O39="",O39=0),"",P39/O39)</f>
        <v/>
      </c>
      <c r="R39" s="52"/>
      <c r="S39" s="65" t="str">
        <f aca="false">IF(OR(B39="",R39="Paid",R39="Lost",R39="Shipped"),"",B39+Settings!$B$8)</f>
        <v/>
      </c>
      <c r="T39" s="10" t="str">
        <f aca="true">IF(OR(B39="",R39="Paid",R39="Lost"),"",TODAY()-B39)</f>
        <v/>
      </c>
      <c r="U39" s="53"/>
      <c r="V39" s="66"/>
    </row>
    <row r="40" customFormat="false" ht="15" hidden="false" customHeight="false" outlineLevel="0" collapsed="false">
      <c r="A40" s="10" t="str">
        <f aca="false">IF(B40="","","Q-"&amp;TEXT(ROW()-4,"000"))</f>
        <v/>
      </c>
      <c r="B40" s="53"/>
      <c r="C40" s="52"/>
      <c r="D40" s="52"/>
      <c r="E40" s="52"/>
      <c r="F40" s="52"/>
      <c r="G40" s="53"/>
      <c r="H40" s="52"/>
      <c r="I40" s="55"/>
      <c r="J40" s="55"/>
      <c r="K40" s="56" t="str">
        <f aca="false">IF(OR(F40="",I40=""),"",F40*I40+N(J40))</f>
        <v/>
      </c>
      <c r="L40" s="61" t="str">
        <f aca="false">IF(K40="","",INDEX(Settings!$B$14:$B$18,MATCH(K40,Settings!$A$14:$A$18,1)))</f>
        <v/>
      </c>
      <c r="M40" s="56" t="str">
        <f aca="false">IF(K40="","",CEILING(MAX(K40*(1+L40),K40+Settings!$B$5)/(1-Settings!$B$4),Settings!$B$6))</f>
        <v/>
      </c>
      <c r="N40" s="55"/>
      <c r="O40" s="56" t="str">
        <f aca="false">IF(K40="","",IF(N40="",M40,N40))</f>
        <v/>
      </c>
      <c r="P40" s="56" t="str">
        <f aca="false">IF(O40="","",O40*(1-Settings!$B$4)-K40)</f>
        <v/>
      </c>
      <c r="Q40" s="61" t="str">
        <f aca="false">IF(OR(O40="",O40=0),"",P40/O40)</f>
        <v/>
      </c>
      <c r="R40" s="52"/>
      <c r="S40" s="65" t="str">
        <f aca="false">IF(OR(B40="",R40="Paid",R40="Lost",R40="Shipped"),"",B40+Settings!$B$8)</f>
        <v/>
      </c>
      <c r="T40" s="10" t="str">
        <f aca="true">IF(OR(B40="",R40="Paid",R40="Lost"),"",TODAY()-B40)</f>
        <v/>
      </c>
      <c r="U40" s="53"/>
      <c r="V40" s="66"/>
    </row>
    <row r="41" customFormat="false" ht="15" hidden="false" customHeight="false" outlineLevel="0" collapsed="false">
      <c r="A41" s="10" t="str">
        <f aca="false">IF(B41="","","Q-"&amp;TEXT(ROW()-4,"000"))</f>
        <v/>
      </c>
      <c r="B41" s="53"/>
      <c r="C41" s="52"/>
      <c r="D41" s="52"/>
      <c r="E41" s="52"/>
      <c r="F41" s="52"/>
      <c r="G41" s="53"/>
      <c r="H41" s="52"/>
      <c r="I41" s="55"/>
      <c r="J41" s="55"/>
      <c r="K41" s="56" t="str">
        <f aca="false">IF(OR(F41="",I41=""),"",F41*I41+N(J41))</f>
        <v/>
      </c>
      <c r="L41" s="61" t="str">
        <f aca="false">IF(K41="","",INDEX(Settings!$B$14:$B$18,MATCH(K41,Settings!$A$14:$A$18,1)))</f>
        <v/>
      </c>
      <c r="M41" s="56" t="str">
        <f aca="false">IF(K41="","",CEILING(MAX(K41*(1+L41),K41+Settings!$B$5)/(1-Settings!$B$4),Settings!$B$6))</f>
        <v/>
      </c>
      <c r="N41" s="55"/>
      <c r="O41" s="56" t="str">
        <f aca="false">IF(K41="","",IF(N41="",M41,N41))</f>
        <v/>
      </c>
      <c r="P41" s="56" t="str">
        <f aca="false">IF(O41="","",O41*(1-Settings!$B$4)-K41)</f>
        <v/>
      </c>
      <c r="Q41" s="61" t="str">
        <f aca="false">IF(OR(O41="",O41=0),"",P41/O41)</f>
        <v/>
      </c>
      <c r="R41" s="52"/>
      <c r="S41" s="65" t="str">
        <f aca="false">IF(OR(B41="",R41="Paid",R41="Lost",R41="Shipped"),"",B41+Settings!$B$8)</f>
        <v/>
      </c>
      <c r="T41" s="10" t="str">
        <f aca="true">IF(OR(B41="",R41="Paid",R41="Lost"),"",TODAY()-B41)</f>
        <v/>
      </c>
      <c r="U41" s="53"/>
      <c r="V41" s="66"/>
    </row>
    <row r="42" customFormat="false" ht="15" hidden="false" customHeight="false" outlineLevel="0" collapsed="false">
      <c r="A42" s="10" t="str">
        <f aca="false">IF(B42="","","Q-"&amp;TEXT(ROW()-4,"000"))</f>
        <v/>
      </c>
      <c r="B42" s="53"/>
      <c r="C42" s="52"/>
      <c r="D42" s="52"/>
      <c r="E42" s="52"/>
      <c r="F42" s="52"/>
      <c r="G42" s="53"/>
      <c r="H42" s="52"/>
      <c r="I42" s="55"/>
      <c r="J42" s="55"/>
      <c r="K42" s="56" t="str">
        <f aca="false">IF(OR(F42="",I42=""),"",F42*I42+N(J42))</f>
        <v/>
      </c>
      <c r="L42" s="61" t="str">
        <f aca="false">IF(K42="","",INDEX(Settings!$B$14:$B$18,MATCH(K42,Settings!$A$14:$A$18,1)))</f>
        <v/>
      </c>
      <c r="M42" s="56" t="str">
        <f aca="false">IF(K42="","",CEILING(MAX(K42*(1+L42),K42+Settings!$B$5)/(1-Settings!$B$4),Settings!$B$6))</f>
        <v/>
      </c>
      <c r="N42" s="55"/>
      <c r="O42" s="56" t="str">
        <f aca="false">IF(K42="","",IF(N42="",M42,N42))</f>
        <v/>
      </c>
      <c r="P42" s="56" t="str">
        <f aca="false">IF(O42="","",O42*(1-Settings!$B$4)-K42)</f>
        <v/>
      </c>
      <c r="Q42" s="61" t="str">
        <f aca="false">IF(OR(O42="",O42=0),"",P42/O42)</f>
        <v/>
      </c>
      <c r="R42" s="52"/>
      <c r="S42" s="65" t="str">
        <f aca="false">IF(OR(B42="",R42="Paid",R42="Lost",R42="Shipped"),"",B42+Settings!$B$8)</f>
        <v/>
      </c>
      <c r="T42" s="10" t="str">
        <f aca="true">IF(OR(B42="",R42="Paid",R42="Lost"),"",TODAY()-B42)</f>
        <v/>
      </c>
      <c r="U42" s="53"/>
      <c r="V42" s="66"/>
    </row>
    <row r="43" customFormat="false" ht="15" hidden="false" customHeight="false" outlineLevel="0" collapsed="false">
      <c r="A43" s="10" t="str">
        <f aca="false">IF(B43="","","Q-"&amp;TEXT(ROW()-4,"000"))</f>
        <v/>
      </c>
      <c r="B43" s="53"/>
      <c r="C43" s="52"/>
      <c r="D43" s="52"/>
      <c r="E43" s="52"/>
      <c r="F43" s="52"/>
      <c r="G43" s="53"/>
      <c r="H43" s="52"/>
      <c r="I43" s="55"/>
      <c r="J43" s="55"/>
      <c r="K43" s="56" t="str">
        <f aca="false">IF(OR(F43="",I43=""),"",F43*I43+N(J43))</f>
        <v/>
      </c>
      <c r="L43" s="61" t="str">
        <f aca="false">IF(K43="","",INDEX(Settings!$B$14:$B$18,MATCH(K43,Settings!$A$14:$A$18,1)))</f>
        <v/>
      </c>
      <c r="M43" s="56" t="str">
        <f aca="false">IF(K43="","",CEILING(MAX(K43*(1+L43),K43+Settings!$B$5)/(1-Settings!$B$4),Settings!$B$6))</f>
        <v/>
      </c>
      <c r="N43" s="55"/>
      <c r="O43" s="56" t="str">
        <f aca="false">IF(K43="","",IF(N43="",M43,N43))</f>
        <v/>
      </c>
      <c r="P43" s="56" t="str">
        <f aca="false">IF(O43="","",O43*(1-Settings!$B$4)-K43)</f>
        <v/>
      </c>
      <c r="Q43" s="61" t="str">
        <f aca="false">IF(OR(O43="",O43=0),"",P43/O43)</f>
        <v/>
      </c>
      <c r="R43" s="52"/>
      <c r="S43" s="65" t="str">
        <f aca="false">IF(OR(B43="",R43="Paid",R43="Lost",R43="Shipped"),"",B43+Settings!$B$8)</f>
        <v/>
      </c>
      <c r="T43" s="10" t="str">
        <f aca="true">IF(OR(B43="",R43="Paid",R43="Lost"),"",TODAY()-B43)</f>
        <v/>
      </c>
      <c r="U43" s="53"/>
      <c r="V43" s="66"/>
    </row>
    <row r="44" customFormat="false" ht="15" hidden="false" customHeight="false" outlineLevel="0" collapsed="false">
      <c r="A44" s="10" t="str">
        <f aca="false">IF(B44="","","Q-"&amp;TEXT(ROW()-4,"000"))</f>
        <v/>
      </c>
      <c r="B44" s="53"/>
      <c r="C44" s="52"/>
      <c r="D44" s="52"/>
      <c r="E44" s="52"/>
      <c r="F44" s="52"/>
      <c r="G44" s="53"/>
      <c r="H44" s="52"/>
      <c r="I44" s="55"/>
      <c r="J44" s="55"/>
      <c r="K44" s="56" t="str">
        <f aca="false">IF(OR(F44="",I44=""),"",F44*I44+N(J44))</f>
        <v/>
      </c>
      <c r="L44" s="61" t="str">
        <f aca="false">IF(K44="","",INDEX(Settings!$B$14:$B$18,MATCH(K44,Settings!$A$14:$A$18,1)))</f>
        <v/>
      </c>
      <c r="M44" s="56" t="str">
        <f aca="false">IF(K44="","",CEILING(MAX(K44*(1+L44),K44+Settings!$B$5)/(1-Settings!$B$4),Settings!$B$6))</f>
        <v/>
      </c>
      <c r="N44" s="55"/>
      <c r="O44" s="56" t="str">
        <f aca="false">IF(K44="","",IF(N44="",M44,N44))</f>
        <v/>
      </c>
      <c r="P44" s="56" t="str">
        <f aca="false">IF(O44="","",O44*(1-Settings!$B$4)-K44)</f>
        <v/>
      </c>
      <c r="Q44" s="61" t="str">
        <f aca="false">IF(OR(O44="",O44=0),"",P44/O44)</f>
        <v/>
      </c>
      <c r="R44" s="52"/>
      <c r="S44" s="65" t="str">
        <f aca="false">IF(OR(B44="",R44="Paid",R44="Lost",R44="Shipped"),"",B44+Settings!$B$8)</f>
        <v/>
      </c>
      <c r="T44" s="10" t="str">
        <f aca="true">IF(OR(B44="",R44="Paid",R44="Lost"),"",TODAY()-B44)</f>
        <v/>
      </c>
      <c r="U44" s="53"/>
      <c r="V44" s="66"/>
    </row>
    <row r="45" customFormat="false" ht="15" hidden="false" customHeight="false" outlineLevel="0" collapsed="false">
      <c r="A45" s="10" t="str">
        <f aca="false">IF(B45="","","Q-"&amp;TEXT(ROW()-4,"000"))</f>
        <v/>
      </c>
      <c r="B45" s="53"/>
      <c r="C45" s="52"/>
      <c r="D45" s="52"/>
      <c r="E45" s="52"/>
      <c r="F45" s="52"/>
      <c r="G45" s="53"/>
      <c r="H45" s="52"/>
      <c r="I45" s="55"/>
      <c r="J45" s="55"/>
      <c r="K45" s="56" t="str">
        <f aca="false">IF(OR(F45="",I45=""),"",F45*I45+N(J45))</f>
        <v/>
      </c>
      <c r="L45" s="61" t="str">
        <f aca="false">IF(K45="","",INDEX(Settings!$B$14:$B$18,MATCH(K45,Settings!$A$14:$A$18,1)))</f>
        <v/>
      </c>
      <c r="M45" s="56" t="str">
        <f aca="false">IF(K45="","",CEILING(MAX(K45*(1+L45),K45+Settings!$B$5)/(1-Settings!$B$4),Settings!$B$6))</f>
        <v/>
      </c>
      <c r="N45" s="55"/>
      <c r="O45" s="56" t="str">
        <f aca="false">IF(K45="","",IF(N45="",M45,N45))</f>
        <v/>
      </c>
      <c r="P45" s="56" t="str">
        <f aca="false">IF(O45="","",O45*(1-Settings!$B$4)-K45)</f>
        <v/>
      </c>
      <c r="Q45" s="61" t="str">
        <f aca="false">IF(OR(O45="",O45=0),"",P45/O45)</f>
        <v/>
      </c>
      <c r="R45" s="52"/>
      <c r="S45" s="65" t="str">
        <f aca="false">IF(OR(B45="",R45="Paid",R45="Lost",R45="Shipped"),"",B45+Settings!$B$8)</f>
        <v/>
      </c>
      <c r="T45" s="10" t="str">
        <f aca="true">IF(OR(B45="",R45="Paid",R45="Lost"),"",TODAY()-B45)</f>
        <v/>
      </c>
      <c r="U45" s="53"/>
      <c r="V45" s="66"/>
    </row>
    <row r="46" customFormat="false" ht="15" hidden="false" customHeight="false" outlineLevel="0" collapsed="false">
      <c r="A46" s="10" t="str">
        <f aca="false">IF(B46="","","Q-"&amp;TEXT(ROW()-4,"000"))</f>
        <v/>
      </c>
      <c r="B46" s="53"/>
      <c r="C46" s="52"/>
      <c r="D46" s="52"/>
      <c r="E46" s="52"/>
      <c r="F46" s="52"/>
      <c r="G46" s="53"/>
      <c r="H46" s="52"/>
      <c r="I46" s="55"/>
      <c r="J46" s="55"/>
      <c r="K46" s="56" t="str">
        <f aca="false">IF(OR(F46="",I46=""),"",F46*I46+N(J46))</f>
        <v/>
      </c>
      <c r="L46" s="61" t="str">
        <f aca="false">IF(K46="","",INDEX(Settings!$B$14:$B$18,MATCH(K46,Settings!$A$14:$A$18,1)))</f>
        <v/>
      </c>
      <c r="M46" s="56" t="str">
        <f aca="false">IF(K46="","",CEILING(MAX(K46*(1+L46),K46+Settings!$B$5)/(1-Settings!$B$4),Settings!$B$6))</f>
        <v/>
      </c>
      <c r="N46" s="55"/>
      <c r="O46" s="56" t="str">
        <f aca="false">IF(K46="","",IF(N46="",M46,N46))</f>
        <v/>
      </c>
      <c r="P46" s="56" t="str">
        <f aca="false">IF(O46="","",O46*(1-Settings!$B$4)-K46)</f>
        <v/>
      </c>
      <c r="Q46" s="61" t="str">
        <f aca="false">IF(OR(O46="",O46=0),"",P46/O46)</f>
        <v/>
      </c>
      <c r="R46" s="52"/>
      <c r="S46" s="65" t="str">
        <f aca="false">IF(OR(B46="",R46="Paid",R46="Lost",R46="Shipped"),"",B46+Settings!$B$8)</f>
        <v/>
      </c>
      <c r="T46" s="10" t="str">
        <f aca="true">IF(OR(B46="",R46="Paid",R46="Lost"),"",TODAY()-B46)</f>
        <v/>
      </c>
      <c r="U46" s="53"/>
      <c r="V46" s="66"/>
    </row>
    <row r="47" customFormat="false" ht="15" hidden="false" customHeight="false" outlineLevel="0" collapsed="false">
      <c r="A47" s="10" t="str">
        <f aca="false">IF(B47="","","Q-"&amp;TEXT(ROW()-4,"000"))</f>
        <v/>
      </c>
      <c r="B47" s="53"/>
      <c r="C47" s="52"/>
      <c r="D47" s="52"/>
      <c r="E47" s="52"/>
      <c r="F47" s="52"/>
      <c r="G47" s="53"/>
      <c r="H47" s="52"/>
      <c r="I47" s="55"/>
      <c r="J47" s="55"/>
      <c r="K47" s="56" t="str">
        <f aca="false">IF(OR(F47="",I47=""),"",F47*I47+N(J47))</f>
        <v/>
      </c>
      <c r="L47" s="61" t="str">
        <f aca="false">IF(K47="","",INDEX(Settings!$B$14:$B$18,MATCH(K47,Settings!$A$14:$A$18,1)))</f>
        <v/>
      </c>
      <c r="M47" s="56" t="str">
        <f aca="false">IF(K47="","",CEILING(MAX(K47*(1+L47),K47+Settings!$B$5)/(1-Settings!$B$4),Settings!$B$6))</f>
        <v/>
      </c>
      <c r="N47" s="55"/>
      <c r="O47" s="56" t="str">
        <f aca="false">IF(K47="","",IF(N47="",M47,N47))</f>
        <v/>
      </c>
      <c r="P47" s="56" t="str">
        <f aca="false">IF(O47="","",O47*(1-Settings!$B$4)-K47)</f>
        <v/>
      </c>
      <c r="Q47" s="61" t="str">
        <f aca="false">IF(OR(O47="",O47=0),"",P47/O47)</f>
        <v/>
      </c>
      <c r="R47" s="52"/>
      <c r="S47" s="65" t="str">
        <f aca="false">IF(OR(B47="",R47="Paid",R47="Lost",R47="Shipped"),"",B47+Settings!$B$8)</f>
        <v/>
      </c>
      <c r="T47" s="10" t="str">
        <f aca="true">IF(OR(B47="",R47="Paid",R47="Lost"),"",TODAY()-B47)</f>
        <v/>
      </c>
      <c r="U47" s="53"/>
      <c r="V47" s="66"/>
    </row>
    <row r="48" customFormat="false" ht="15" hidden="false" customHeight="false" outlineLevel="0" collapsed="false">
      <c r="A48" s="10" t="str">
        <f aca="false">IF(B48="","","Q-"&amp;TEXT(ROW()-4,"000"))</f>
        <v/>
      </c>
      <c r="B48" s="53"/>
      <c r="C48" s="52"/>
      <c r="D48" s="52"/>
      <c r="E48" s="52"/>
      <c r="F48" s="52"/>
      <c r="G48" s="53"/>
      <c r="H48" s="52"/>
      <c r="I48" s="55"/>
      <c r="J48" s="55"/>
      <c r="K48" s="56" t="str">
        <f aca="false">IF(OR(F48="",I48=""),"",F48*I48+N(J48))</f>
        <v/>
      </c>
      <c r="L48" s="61" t="str">
        <f aca="false">IF(K48="","",INDEX(Settings!$B$14:$B$18,MATCH(K48,Settings!$A$14:$A$18,1)))</f>
        <v/>
      </c>
      <c r="M48" s="56" t="str">
        <f aca="false">IF(K48="","",CEILING(MAX(K48*(1+L48),K48+Settings!$B$5)/(1-Settings!$B$4),Settings!$B$6))</f>
        <v/>
      </c>
      <c r="N48" s="55"/>
      <c r="O48" s="56" t="str">
        <f aca="false">IF(K48="","",IF(N48="",M48,N48))</f>
        <v/>
      </c>
      <c r="P48" s="56" t="str">
        <f aca="false">IF(O48="","",O48*(1-Settings!$B$4)-K48)</f>
        <v/>
      </c>
      <c r="Q48" s="61" t="str">
        <f aca="false">IF(OR(O48="",O48=0),"",P48/O48)</f>
        <v/>
      </c>
      <c r="R48" s="52"/>
      <c r="S48" s="65" t="str">
        <f aca="false">IF(OR(B48="",R48="Paid",R48="Lost",R48="Shipped"),"",B48+Settings!$B$8)</f>
        <v/>
      </c>
      <c r="T48" s="10" t="str">
        <f aca="true">IF(OR(B48="",R48="Paid",R48="Lost"),"",TODAY()-B48)</f>
        <v/>
      </c>
      <c r="U48" s="53"/>
      <c r="V48" s="66"/>
    </row>
    <row r="49" customFormat="false" ht="15" hidden="false" customHeight="false" outlineLevel="0" collapsed="false">
      <c r="A49" s="10" t="str">
        <f aca="false">IF(B49="","","Q-"&amp;TEXT(ROW()-4,"000"))</f>
        <v/>
      </c>
      <c r="B49" s="53"/>
      <c r="C49" s="52"/>
      <c r="D49" s="52"/>
      <c r="E49" s="52"/>
      <c r="F49" s="52"/>
      <c r="G49" s="53"/>
      <c r="H49" s="52"/>
      <c r="I49" s="55"/>
      <c r="J49" s="55"/>
      <c r="K49" s="56" t="str">
        <f aca="false">IF(OR(F49="",I49=""),"",F49*I49+N(J49))</f>
        <v/>
      </c>
      <c r="L49" s="61" t="str">
        <f aca="false">IF(K49="","",INDEX(Settings!$B$14:$B$18,MATCH(K49,Settings!$A$14:$A$18,1)))</f>
        <v/>
      </c>
      <c r="M49" s="56" t="str">
        <f aca="false">IF(K49="","",CEILING(MAX(K49*(1+L49),K49+Settings!$B$5)/(1-Settings!$B$4),Settings!$B$6))</f>
        <v/>
      </c>
      <c r="N49" s="55"/>
      <c r="O49" s="56" t="str">
        <f aca="false">IF(K49="","",IF(N49="",M49,N49))</f>
        <v/>
      </c>
      <c r="P49" s="56" t="str">
        <f aca="false">IF(O49="","",O49*(1-Settings!$B$4)-K49)</f>
        <v/>
      </c>
      <c r="Q49" s="61" t="str">
        <f aca="false">IF(OR(O49="",O49=0),"",P49/O49)</f>
        <v/>
      </c>
      <c r="R49" s="52"/>
      <c r="S49" s="65" t="str">
        <f aca="false">IF(OR(B49="",R49="Paid",R49="Lost",R49="Shipped"),"",B49+Settings!$B$8)</f>
        <v/>
      </c>
      <c r="T49" s="10" t="str">
        <f aca="true">IF(OR(B49="",R49="Paid",R49="Lost"),"",TODAY()-B49)</f>
        <v/>
      </c>
      <c r="U49" s="53"/>
      <c r="V49" s="66"/>
    </row>
    <row r="50" customFormat="false" ht="15" hidden="false" customHeight="false" outlineLevel="0" collapsed="false">
      <c r="A50" s="10" t="str">
        <f aca="false">IF(B50="","","Q-"&amp;TEXT(ROW()-4,"000"))</f>
        <v/>
      </c>
      <c r="B50" s="53"/>
      <c r="C50" s="52"/>
      <c r="D50" s="52"/>
      <c r="E50" s="52"/>
      <c r="F50" s="52"/>
      <c r="G50" s="53"/>
      <c r="H50" s="52"/>
      <c r="I50" s="55"/>
      <c r="J50" s="55"/>
      <c r="K50" s="56" t="str">
        <f aca="false">IF(OR(F50="",I50=""),"",F50*I50+N(J50))</f>
        <v/>
      </c>
      <c r="L50" s="61" t="str">
        <f aca="false">IF(K50="","",INDEX(Settings!$B$14:$B$18,MATCH(K50,Settings!$A$14:$A$18,1)))</f>
        <v/>
      </c>
      <c r="M50" s="56" t="str">
        <f aca="false">IF(K50="","",CEILING(MAX(K50*(1+L50),K50+Settings!$B$5)/(1-Settings!$B$4),Settings!$B$6))</f>
        <v/>
      </c>
      <c r="N50" s="55"/>
      <c r="O50" s="56" t="str">
        <f aca="false">IF(K50="","",IF(N50="",M50,N50))</f>
        <v/>
      </c>
      <c r="P50" s="56" t="str">
        <f aca="false">IF(O50="","",O50*(1-Settings!$B$4)-K50)</f>
        <v/>
      </c>
      <c r="Q50" s="61" t="str">
        <f aca="false">IF(OR(O50="",O50=0),"",P50/O50)</f>
        <v/>
      </c>
      <c r="R50" s="52"/>
      <c r="S50" s="65" t="str">
        <f aca="false">IF(OR(B50="",R50="Paid",R50="Lost",R50="Shipped"),"",B50+Settings!$B$8)</f>
        <v/>
      </c>
      <c r="T50" s="10" t="str">
        <f aca="true">IF(OR(B50="",R50="Paid",R50="Lost"),"",TODAY()-B50)</f>
        <v/>
      </c>
      <c r="U50" s="53"/>
      <c r="V50" s="66"/>
    </row>
    <row r="51" customFormat="false" ht="15" hidden="false" customHeight="false" outlineLevel="0" collapsed="false">
      <c r="A51" s="10" t="str">
        <f aca="false">IF(B51="","","Q-"&amp;TEXT(ROW()-4,"000"))</f>
        <v/>
      </c>
      <c r="B51" s="53"/>
      <c r="C51" s="52"/>
      <c r="D51" s="52"/>
      <c r="E51" s="52"/>
      <c r="F51" s="52"/>
      <c r="G51" s="53"/>
      <c r="H51" s="52"/>
      <c r="I51" s="55"/>
      <c r="J51" s="55"/>
      <c r="K51" s="56" t="str">
        <f aca="false">IF(OR(F51="",I51=""),"",F51*I51+N(J51))</f>
        <v/>
      </c>
      <c r="L51" s="61" t="str">
        <f aca="false">IF(K51="","",INDEX(Settings!$B$14:$B$18,MATCH(K51,Settings!$A$14:$A$18,1)))</f>
        <v/>
      </c>
      <c r="M51" s="56" t="str">
        <f aca="false">IF(K51="","",CEILING(MAX(K51*(1+L51),K51+Settings!$B$5)/(1-Settings!$B$4),Settings!$B$6))</f>
        <v/>
      </c>
      <c r="N51" s="55"/>
      <c r="O51" s="56" t="str">
        <f aca="false">IF(K51="","",IF(N51="",M51,N51))</f>
        <v/>
      </c>
      <c r="P51" s="56" t="str">
        <f aca="false">IF(O51="","",O51*(1-Settings!$B$4)-K51)</f>
        <v/>
      </c>
      <c r="Q51" s="61" t="str">
        <f aca="false">IF(OR(O51="",O51=0),"",P51/O51)</f>
        <v/>
      </c>
      <c r="R51" s="52"/>
      <c r="S51" s="65" t="str">
        <f aca="false">IF(OR(B51="",R51="Paid",R51="Lost",R51="Shipped"),"",B51+Settings!$B$8)</f>
        <v/>
      </c>
      <c r="T51" s="10" t="str">
        <f aca="true">IF(OR(B51="",R51="Paid",R51="Lost"),"",TODAY()-B51)</f>
        <v/>
      </c>
      <c r="U51" s="53"/>
      <c r="V51" s="66"/>
    </row>
    <row r="52" customFormat="false" ht="15" hidden="false" customHeight="false" outlineLevel="0" collapsed="false">
      <c r="A52" s="10" t="str">
        <f aca="false">IF(B52="","","Q-"&amp;TEXT(ROW()-4,"000"))</f>
        <v/>
      </c>
      <c r="B52" s="53"/>
      <c r="C52" s="52"/>
      <c r="D52" s="52"/>
      <c r="E52" s="52"/>
      <c r="F52" s="52"/>
      <c r="G52" s="53"/>
      <c r="H52" s="52"/>
      <c r="I52" s="55"/>
      <c r="J52" s="55"/>
      <c r="K52" s="56" t="str">
        <f aca="false">IF(OR(F52="",I52=""),"",F52*I52+N(J52))</f>
        <v/>
      </c>
      <c r="L52" s="61" t="str">
        <f aca="false">IF(K52="","",INDEX(Settings!$B$14:$B$18,MATCH(K52,Settings!$A$14:$A$18,1)))</f>
        <v/>
      </c>
      <c r="M52" s="56" t="str">
        <f aca="false">IF(K52="","",CEILING(MAX(K52*(1+L52),K52+Settings!$B$5)/(1-Settings!$B$4),Settings!$B$6))</f>
        <v/>
      </c>
      <c r="N52" s="55"/>
      <c r="O52" s="56" t="str">
        <f aca="false">IF(K52="","",IF(N52="",M52,N52))</f>
        <v/>
      </c>
      <c r="P52" s="56" t="str">
        <f aca="false">IF(O52="","",O52*(1-Settings!$B$4)-K52)</f>
        <v/>
      </c>
      <c r="Q52" s="61" t="str">
        <f aca="false">IF(OR(O52="",O52=0),"",P52/O52)</f>
        <v/>
      </c>
      <c r="R52" s="52"/>
      <c r="S52" s="65" t="str">
        <f aca="false">IF(OR(B52="",R52="Paid",R52="Lost",R52="Shipped"),"",B52+Settings!$B$8)</f>
        <v/>
      </c>
      <c r="T52" s="10" t="str">
        <f aca="true">IF(OR(B52="",R52="Paid",R52="Lost"),"",TODAY()-B52)</f>
        <v/>
      </c>
      <c r="U52" s="53"/>
      <c r="V52" s="66"/>
    </row>
    <row r="53" customFormat="false" ht="15" hidden="false" customHeight="false" outlineLevel="0" collapsed="false">
      <c r="A53" s="10" t="str">
        <f aca="false">IF(B53="","","Q-"&amp;TEXT(ROW()-4,"000"))</f>
        <v/>
      </c>
      <c r="B53" s="53"/>
      <c r="C53" s="52"/>
      <c r="D53" s="52"/>
      <c r="E53" s="52"/>
      <c r="F53" s="52"/>
      <c r="G53" s="53"/>
      <c r="H53" s="52"/>
      <c r="I53" s="55"/>
      <c r="J53" s="55"/>
      <c r="K53" s="56" t="str">
        <f aca="false">IF(OR(F53="",I53=""),"",F53*I53+N(J53))</f>
        <v/>
      </c>
      <c r="L53" s="61" t="str">
        <f aca="false">IF(K53="","",INDEX(Settings!$B$14:$B$18,MATCH(K53,Settings!$A$14:$A$18,1)))</f>
        <v/>
      </c>
      <c r="M53" s="56" t="str">
        <f aca="false">IF(K53="","",CEILING(MAX(K53*(1+L53),K53+Settings!$B$5)/(1-Settings!$B$4),Settings!$B$6))</f>
        <v/>
      </c>
      <c r="N53" s="55"/>
      <c r="O53" s="56" t="str">
        <f aca="false">IF(K53="","",IF(N53="",M53,N53))</f>
        <v/>
      </c>
      <c r="P53" s="56" t="str">
        <f aca="false">IF(O53="","",O53*(1-Settings!$B$4)-K53)</f>
        <v/>
      </c>
      <c r="Q53" s="61" t="str">
        <f aca="false">IF(OR(O53="",O53=0),"",P53/O53)</f>
        <v/>
      </c>
      <c r="R53" s="52"/>
      <c r="S53" s="65" t="str">
        <f aca="false">IF(OR(B53="",R53="Paid",R53="Lost",R53="Shipped"),"",B53+Settings!$B$8)</f>
        <v/>
      </c>
      <c r="T53" s="10" t="str">
        <f aca="true">IF(OR(B53="",R53="Paid",R53="Lost"),"",TODAY()-B53)</f>
        <v/>
      </c>
      <c r="U53" s="53"/>
      <c r="V53" s="66"/>
    </row>
    <row r="54" customFormat="false" ht="15" hidden="false" customHeight="false" outlineLevel="0" collapsed="false">
      <c r="A54" s="10" t="str">
        <f aca="false">IF(B54="","","Q-"&amp;TEXT(ROW()-4,"000"))</f>
        <v/>
      </c>
      <c r="B54" s="53"/>
      <c r="C54" s="52"/>
      <c r="D54" s="52"/>
      <c r="E54" s="52"/>
      <c r="F54" s="52"/>
      <c r="G54" s="53"/>
      <c r="H54" s="52"/>
      <c r="I54" s="55"/>
      <c r="J54" s="55"/>
      <c r="K54" s="56" t="str">
        <f aca="false">IF(OR(F54="",I54=""),"",F54*I54+N(J54))</f>
        <v/>
      </c>
      <c r="L54" s="61" t="str">
        <f aca="false">IF(K54="","",INDEX(Settings!$B$14:$B$18,MATCH(K54,Settings!$A$14:$A$18,1)))</f>
        <v/>
      </c>
      <c r="M54" s="56" t="str">
        <f aca="false">IF(K54="","",CEILING(MAX(K54*(1+L54),K54+Settings!$B$5)/(1-Settings!$B$4),Settings!$B$6))</f>
        <v/>
      </c>
      <c r="N54" s="55"/>
      <c r="O54" s="56" t="str">
        <f aca="false">IF(K54="","",IF(N54="",M54,N54))</f>
        <v/>
      </c>
      <c r="P54" s="56" t="str">
        <f aca="false">IF(O54="","",O54*(1-Settings!$B$4)-K54)</f>
        <v/>
      </c>
      <c r="Q54" s="61" t="str">
        <f aca="false">IF(OR(O54="",O54=0),"",P54/O54)</f>
        <v/>
      </c>
      <c r="R54" s="52"/>
      <c r="S54" s="65" t="str">
        <f aca="false">IF(OR(B54="",R54="Paid",R54="Lost",R54="Shipped"),"",B54+Settings!$B$8)</f>
        <v/>
      </c>
      <c r="T54" s="10" t="str">
        <f aca="true">IF(OR(B54="",R54="Paid",R54="Lost"),"",TODAY()-B54)</f>
        <v/>
      </c>
      <c r="U54" s="53"/>
      <c r="V54" s="66"/>
    </row>
    <row r="55" customFormat="false" ht="15" hidden="false" customHeight="false" outlineLevel="0" collapsed="false">
      <c r="A55" s="10" t="str">
        <f aca="false">IF(B55="","","Q-"&amp;TEXT(ROW()-4,"000"))</f>
        <v/>
      </c>
      <c r="B55" s="53"/>
      <c r="C55" s="52"/>
      <c r="D55" s="52"/>
      <c r="E55" s="52"/>
      <c r="F55" s="52"/>
      <c r="G55" s="53"/>
      <c r="H55" s="52"/>
      <c r="I55" s="55"/>
      <c r="J55" s="55"/>
      <c r="K55" s="56" t="str">
        <f aca="false">IF(OR(F55="",I55=""),"",F55*I55+N(J55))</f>
        <v/>
      </c>
      <c r="L55" s="61" t="str">
        <f aca="false">IF(K55="","",INDEX(Settings!$B$14:$B$18,MATCH(K55,Settings!$A$14:$A$18,1)))</f>
        <v/>
      </c>
      <c r="M55" s="56" t="str">
        <f aca="false">IF(K55="","",CEILING(MAX(K55*(1+L55),K55+Settings!$B$5)/(1-Settings!$B$4),Settings!$B$6))</f>
        <v/>
      </c>
      <c r="N55" s="55"/>
      <c r="O55" s="56" t="str">
        <f aca="false">IF(K55="","",IF(N55="",M55,N55))</f>
        <v/>
      </c>
      <c r="P55" s="56" t="str">
        <f aca="false">IF(O55="","",O55*(1-Settings!$B$4)-K55)</f>
        <v/>
      </c>
      <c r="Q55" s="61" t="str">
        <f aca="false">IF(OR(O55="",O55=0),"",P55/O55)</f>
        <v/>
      </c>
      <c r="R55" s="52"/>
      <c r="S55" s="65" t="str">
        <f aca="false">IF(OR(B55="",R55="Paid",R55="Lost",R55="Shipped"),"",B55+Settings!$B$8)</f>
        <v/>
      </c>
      <c r="T55" s="10" t="str">
        <f aca="true">IF(OR(B55="",R55="Paid",R55="Lost"),"",TODAY()-B55)</f>
        <v/>
      </c>
      <c r="U55" s="53"/>
      <c r="V55" s="66"/>
    </row>
    <row r="56" customFormat="false" ht="15" hidden="false" customHeight="false" outlineLevel="0" collapsed="false">
      <c r="A56" s="10" t="str">
        <f aca="false">IF(B56="","","Q-"&amp;TEXT(ROW()-4,"000"))</f>
        <v/>
      </c>
      <c r="B56" s="53"/>
      <c r="C56" s="52"/>
      <c r="D56" s="52"/>
      <c r="E56" s="52"/>
      <c r="F56" s="52"/>
      <c r="G56" s="53"/>
      <c r="H56" s="52"/>
      <c r="I56" s="55"/>
      <c r="J56" s="55"/>
      <c r="K56" s="56" t="str">
        <f aca="false">IF(OR(F56="",I56=""),"",F56*I56+N(J56))</f>
        <v/>
      </c>
      <c r="L56" s="61" t="str">
        <f aca="false">IF(K56="","",INDEX(Settings!$B$14:$B$18,MATCH(K56,Settings!$A$14:$A$18,1)))</f>
        <v/>
      </c>
      <c r="M56" s="56" t="str">
        <f aca="false">IF(K56="","",CEILING(MAX(K56*(1+L56),K56+Settings!$B$5)/(1-Settings!$B$4),Settings!$B$6))</f>
        <v/>
      </c>
      <c r="N56" s="55"/>
      <c r="O56" s="56" t="str">
        <f aca="false">IF(K56="","",IF(N56="",M56,N56))</f>
        <v/>
      </c>
      <c r="P56" s="56" t="str">
        <f aca="false">IF(O56="","",O56*(1-Settings!$B$4)-K56)</f>
        <v/>
      </c>
      <c r="Q56" s="61" t="str">
        <f aca="false">IF(OR(O56="",O56=0),"",P56/O56)</f>
        <v/>
      </c>
      <c r="R56" s="52"/>
      <c r="S56" s="65" t="str">
        <f aca="false">IF(OR(B56="",R56="Paid",R56="Lost",R56="Shipped"),"",B56+Settings!$B$8)</f>
        <v/>
      </c>
      <c r="T56" s="10" t="str">
        <f aca="true">IF(OR(B56="",R56="Paid",R56="Lost"),"",TODAY()-B56)</f>
        <v/>
      </c>
      <c r="U56" s="53"/>
      <c r="V56" s="66"/>
    </row>
    <row r="57" customFormat="false" ht="15" hidden="false" customHeight="false" outlineLevel="0" collapsed="false">
      <c r="A57" s="10" t="str">
        <f aca="false">IF(B57="","","Q-"&amp;TEXT(ROW()-4,"000"))</f>
        <v/>
      </c>
      <c r="B57" s="53"/>
      <c r="C57" s="52"/>
      <c r="D57" s="52"/>
      <c r="E57" s="52"/>
      <c r="F57" s="52"/>
      <c r="G57" s="53"/>
      <c r="H57" s="52"/>
      <c r="I57" s="55"/>
      <c r="J57" s="55"/>
      <c r="K57" s="56" t="str">
        <f aca="false">IF(OR(F57="",I57=""),"",F57*I57+N(J57))</f>
        <v/>
      </c>
      <c r="L57" s="61" t="str">
        <f aca="false">IF(K57="","",INDEX(Settings!$B$14:$B$18,MATCH(K57,Settings!$A$14:$A$18,1)))</f>
        <v/>
      </c>
      <c r="M57" s="56" t="str">
        <f aca="false">IF(K57="","",CEILING(MAX(K57*(1+L57),K57+Settings!$B$5)/(1-Settings!$B$4),Settings!$B$6))</f>
        <v/>
      </c>
      <c r="N57" s="55"/>
      <c r="O57" s="56" t="str">
        <f aca="false">IF(K57="","",IF(N57="",M57,N57))</f>
        <v/>
      </c>
      <c r="P57" s="56" t="str">
        <f aca="false">IF(O57="","",O57*(1-Settings!$B$4)-K57)</f>
        <v/>
      </c>
      <c r="Q57" s="61" t="str">
        <f aca="false">IF(OR(O57="",O57=0),"",P57/O57)</f>
        <v/>
      </c>
      <c r="R57" s="52"/>
      <c r="S57" s="65" t="str">
        <f aca="false">IF(OR(B57="",R57="Paid",R57="Lost",R57="Shipped"),"",B57+Settings!$B$8)</f>
        <v/>
      </c>
      <c r="T57" s="10" t="str">
        <f aca="true">IF(OR(B57="",R57="Paid",R57="Lost"),"",TODAY()-B57)</f>
        <v/>
      </c>
      <c r="U57" s="53"/>
      <c r="V57" s="66"/>
    </row>
    <row r="58" customFormat="false" ht="15" hidden="false" customHeight="false" outlineLevel="0" collapsed="false">
      <c r="A58" s="10" t="str">
        <f aca="false">IF(B58="","","Q-"&amp;TEXT(ROW()-4,"000"))</f>
        <v/>
      </c>
      <c r="B58" s="53"/>
      <c r="C58" s="52"/>
      <c r="D58" s="52"/>
      <c r="E58" s="52"/>
      <c r="F58" s="52"/>
      <c r="G58" s="53"/>
      <c r="H58" s="52"/>
      <c r="I58" s="55"/>
      <c r="J58" s="55"/>
      <c r="K58" s="56" t="str">
        <f aca="false">IF(OR(F58="",I58=""),"",F58*I58+N(J58))</f>
        <v/>
      </c>
      <c r="L58" s="61" t="str">
        <f aca="false">IF(K58="","",INDEX(Settings!$B$14:$B$18,MATCH(K58,Settings!$A$14:$A$18,1)))</f>
        <v/>
      </c>
      <c r="M58" s="56" t="str">
        <f aca="false">IF(K58="","",CEILING(MAX(K58*(1+L58),K58+Settings!$B$5)/(1-Settings!$B$4),Settings!$B$6))</f>
        <v/>
      </c>
      <c r="N58" s="55"/>
      <c r="O58" s="56" t="str">
        <f aca="false">IF(K58="","",IF(N58="",M58,N58))</f>
        <v/>
      </c>
      <c r="P58" s="56" t="str">
        <f aca="false">IF(O58="","",O58*(1-Settings!$B$4)-K58)</f>
        <v/>
      </c>
      <c r="Q58" s="61" t="str">
        <f aca="false">IF(OR(O58="",O58=0),"",P58/O58)</f>
        <v/>
      </c>
      <c r="R58" s="52"/>
      <c r="S58" s="65" t="str">
        <f aca="false">IF(OR(B58="",R58="Paid",R58="Lost",R58="Shipped"),"",B58+Settings!$B$8)</f>
        <v/>
      </c>
      <c r="T58" s="10" t="str">
        <f aca="true">IF(OR(B58="",R58="Paid",R58="Lost"),"",TODAY()-B58)</f>
        <v/>
      </c>
      <c r="U58" s="53"/>
      <c r="V58" s="66"/>
    </row>
    <row r="59" customFormat="false" ht="15" hidden="false" customHeight="false" outlineLevel="0" collapsed="false">
      <c r="A59" s="10" t="str">
        <f aca="false">IF(B59="","","Q-"&amp;TEXT(ROW()-4,"000"))</f>
        <v/>
      </c>
      <c r="B59" s="53"/>
      <c r="C59" s="52"/>
      <c r="D59" s="52"/>
      <c r="E59" s="52"/>
      <c r="F59" s="52"/>
      <c r="G59" s="53"/>
      <c r="H59" s="52"/>
      <c r="I59" s="55"/>
      <c r="J59" s="55"/>
      <c r="K59" s="56" t="str">
        <f aca="false">IF(OR(F59="",I59=""),"",F59*I59+N(J59))</f>
        <v/>
      </c>
      <c r="L59" s="61" t="str">
        <f aca="false">IF(K59="","",INDEX(Settings!$B$14:$B$18,MATCH(K59,Settings!$A$14:$A$18,1)))</f>
        <v/>
      </c>
      <c r="M59" s="56" t="str">
        <f aca="false">IF(K59="","",CEILING(MAX(K59*(1+L59),K59+Settings!$B$5)/(1-Settings!$B$4),Settings!$B$6))</f>
        <v/>
      </c>
      <c r="N59" s="55"/>
      <c r="O59" s="56" t="str">
        <f aca="false">IF(K59="","",IF(N59="",M59,N59))</f>
        <v/>
      </c>
      <c r="P59" s="56" t="str">
        <f aca="false">IF(O59="","",O59*(1-Settings!$B$4)-K59)</f>
        <v/>
      </c>
      <c r="Q59" s="61" t="str">
        <f aca="false">IF(OR(O59="",O59=0),"",P59/O59)</f>
        <v/>
      </c>
      <c r="R59" s="52"/>
      <c r="S59" s="65" t="str">
        <f aca="false">IF(OR(B59="",R59="Paid",R59="Lost",R59="Shipped"),"",B59+Settings!$B$8)</f>
        <v/>
      </c>
      <c r="T59" s="10" t="str">
        <f aca="true">IF(OR(B59="",R59="Paid",R59="Lost"),"",TODAY()-B59)</f>
        <v/>
      </c>
      <c r="U59" s="53"/>
      <c r="V59" s="66"/>
    </row>
    <row r="60" customFormat="false" ht="15" hidden="false" customHeight="false" outlineLevel="0" collapsed="false">
      <c r="A60" s="10" t="str">
        <f aca="false">IF(B60="","","Q-"&amp;TEXT(ROW()-4,"000"))</f>
        <v/>
      </c>
      <c r="B60" s="53"/>
      <c r="C60" s="52"/>
      <c r="D60" s="52"/>
      <c r="E60" s="52"/>
      <c r="F60" s="52"/>
      <c r="G60" s="53"/>
      <c r="H60" s="52"/>
      <c r="I60" s="55"/>
      <c r="J60" s="55"/>
      <c r="K60" s="56" t="str">
        <f aca="false">IF(OR(F60="",I60=""),"",F60*I60+N(J60))</f>
        <v/>
      </c>
      <c r="L60" s="61" t="str">
        <f aca="false">IF(K60="","",INDEX(Settings!$B$14:$B$18,MATCH(K60,Settings!$A$14:$A$18,1)))</f>
        <v/>
      </c>
      <c r="M60" s="56" t="str">
        <f aca="false">IF(K60="","",CEILING(MAX(K60*(1+L60),K60+Settings!$B$5)/(1-Settings!$B$4),Settings!$B$6))</f>
        <v/>
      </c>
      <c r="N60" s="55"/>
      <c r="O60" s="56" t="str">
        <f aca="false">IF(K60="","",IF(N60="",M60,N60))</f>
        <v/>
      </c>
      <c r="P60" s="56" t="str">
        <f aca="false">IF(O60="","",O60*(1-Settings!$B$4)-K60)</f>
        <v/>
      </c>
      <c r="Q60" s="61" t="str">
        <f aca="false">IF(OR(O60="",O60=0),"",P60/O60)</f>
        <v/>
      </c>
      <c r="R60" s="52"/>
      <c r="S60" s="65" t="str">
        <f aca="false">IF(OR(B60="",R60="Paid",R60="Lost",R60="Shipped"),"",B60+Settings!$B$8)</f>
        <v/>
      </c>
      <c r="T60" s="10" t="str">
        <f aca="true">IF(OR(B60="",R60="Paid",R60="Lost"),"",TODAY()-B60)</f>
        <v/>
      </c>
      <c r="U60" s="53"/>
      <c r="V60" s="66"/>
    </row>
    <row r="61" customFormat="false" ht="15" hidden="false" customHeight="false" outlineLevel="0" collapsed="false">
      <c r="A61" s="10" t="str">
        <f aca="false">IF(B61="","","Q-"&amp;TEXT(ROW()-4,"000"))</f>
        <v/>
      </c>
      <c r="B61" s="53"/>
      <c r="C61" s="52"/>
      <c r="D61" s="52"/>
      <c r="E61" s="52"/>
      <c r="F61" s="52"/>
      <c r="G61" s="53"/>
      <c r="H61" s="52"/>
      <c r="I61" s="55"/>
      <c r="J61" s="55"/>
      <c r="K61" s="56" t="str">
        <f aca="false">IF(OR(F61="",I61=""),"",F61*I61+N(J61))</f>
        <v/>
      </c>
      <c r="L61" s="61" t="str">
        <f aca="false">IF(K61="","",INDEX(Settings!$B$14:$B$18,MATCH(K61,Settings!$A$14:$A$18,1)))</f>
        <v/>
      </c>
      <c r="M61" s="56" t="str">
        <f aca="false">IF(K61="","",CEILING(MAX(K61*(1+L61),K61+Settings!$B$5)/(1-Settings!$B$4),Settings!$B$6))</f>
        <v/>
      </c>
      <c r="N61" s="55"/>
      <c r="O61" s="56" t="str">
        <f aca="false">IF(K61="","",IF(N61="",M61,N61))</f>
        <v/>
      </c>
      <c r="P61" s="56" t="str">
        <f aca="false">IF(O61="","",O61*(1-Settings!$B$4)-K61)</f>
        <v/>
      </c>
      <c r="Q61" s="61" t="str">
        <f aca="false">IF(OR(O61="",O61=0),"",P61/O61)</f>
        <v/>
      </c>
      <c r="R61" s="52"/>
      <c r="S61" s="65" t="str">
        <f aca="false">IF(OR(B61="",R61="Paid",R61="Lost",R61="Shipped"),"",B61+Settings!$B$8)</f>
        <v/>
      </c>
      <c r="T61" s="10" t="str">
        <f aca="true">IF(OR(B61="",R61="Paid",R61="Lost"),"",TODAY()-B61)</f>
        <v/>
      </c>
      <c r="U61" s="53"/>
      <c r="V61" s="66"/>
    </row>
    <row r="62" customFormat="false" ht="15" hidden="false" customHeight="false" outlineLevel="0" collapsed="false">
      <c r="A62" s="10" t="str">
        <f aca="false">IF(B62="","","Q-"&amp;TEXT(ROW()-4,"000"))</f>
        <v/>
      </c>
      <c r="B62" s="53"/>
      <c r="C62" s="52"/>
      <c r="D62" s="52"/>
      <c r="E62" s="52"/>
      <c r="F62" s="52"/>
      <c r="G62" s="53"/>
      <c r="H62" s="52"/>
      <c r="I62" s="55"/>
      <c r="J62" s="55"/>
      <c r="K62" s="56" t="str">
        <f aca="false">IF(OR(F62="",I62=""),"",F62*I62+N(J62))</f>
        <v/>
      </c>
      <c r="L62" s="61" t="str">
        <f aca="false">IF(K62="","",INDEX(Settings!$B$14:$B$18,MATCH(K62,Settings!$A$14:$A$18,1)))</f>
        <v/>
      </c>
      <c r="M62" s="56" t="str">
        <f aca="false">IF(K62="","",CEILING(MAX(K62*(1+L62),K62+Settings!$B$5)/(1-Settings!$B$4),Settings!$B$6))</f>
        <v/>
      </c>
      <c r="N62" s="55"/>
      <c r="O62" s="56" t="str">
        <f aca="false">IF(K62="","",IF(N62="",M62,N62))</f>
        <v/>
      </c>
      <c r="P62" s="56" t="str">
        <f aca="false">IF(O62="","",O62*(1-Settings!$B$4)-K62)</f>
        <v/>
      </c>
      <c r="Q62" s="61" t="str">
        <f aca="false">IF(OR(O62="",O62=0),"",P62/O62)</f>
        <v/>
      </c>
      <c r="R62" s="52"/>
      <c r="S62" s="65" t="str">
        <f aca="false">IF(OR(B62="",R62="Paid",R62="Lost",R62="Shipped"),"",B62+Settings!$B$8)</f>
        <v/>
      </c>
      <c r="T62" s="10" t="str">
        <f aca="true">IF(OR(B62="",R62="Paid",R62="Lost"),"",TODAY()-B62)</f>
        <v/>
      </c>
      <c r="U62" s="53"/>
      <c r="V62" s="66"/>
    </row>
    <row r="63" customFormat="false" ht="15" hidden="false" customHeight="false" outlineLevel="0" collapsed="false">
      <c r="A63" s="10" t="str">
        <f aca="false">IF(B63="","","Q-"&amp;TEXT(ROW()-4,"000"))</f>
        <v/>
      </c>
      <c r="B63" s="53"/>
      <c r="C63" s="52"/>
      <c r="D63" s="52"/>
      <c r="E63" s="52"/>
      <c r="F63" s="52"/>
      <c r="G63" s="53"/>
      <c r="H63" s="52"/>
      <c r="I63" s="55"/>
      <c r="J63" s="55"/>
      <c r="K63" s="56" t="str">
        <f aca="false">IF(OR(F63="",I63=""),"",F63*I63+N(J63))</f>
        <v/>
      </c>
      <c r="L63" s="61" t="str">
        <f aca="false">IF(K63="","",INDEX(Settings!$B$14:$B$18,MATCH(K63,Settings!$A$14:$A$18,1)))</f>
        <v/>
      </c>
      <c r="M63" s="56" t="str">
        <f aca="false">IF(K63="","",CEILING(MAX(K63*(1+L63),K63+Settings!$B$5)/(1-Settings!$B$4),Settings!$B$6))</f>
        <v/>
      </c>
      <c r="N63" s="55"/>
      <c r="O63" s="56" t="str">
        <f aca="false">IF(K63="","",IF(N63="",M63,N63))</f>
        <v/>
      </c>
      <c r="P63" s="56" t="str">
        <f aca="false">IF(O63="","",O63*(1-Settings!$B$4)-K63)</f>
        <v/>
      </c>
      <c r="Q63" s="61" t="str">
        <f aca="false">IF(OR(O63="",O63=0),"",P63/O63)</f>
        <v/>
      </c>
      <c r="R63" s="52"/>
      <c r="S63" s="65" t="str">
        <f aca="false">IF(OR(B63="",R63="Paid",R63="Lost",R63="Shipped"),"",B63+Settings!$B$8)</f>
        <v/>
      </c>
      <c r="T63" s="10" t="str">
        <f aca="true">IF(OR(B63="",R63="Paid",R63="Lost"),"",TODAY()-B63)</f>
        <v/>
      </c>
      <c r="U63" s="53"/>
      <c r="V63" s="66"/>
    </row>
    <row r="64" customFormat="false" ht="15" hidden="false" customHeight="false" outlineLevel="0" collapsed="false">
      <c r="A64" s="10" t="str">
        <f aca="false">IF(B64="","","Q-"&amp;TEXT(ROW()-4,"000"))</f>
        <v/>
      </c>
      <c r="B64" s="53"/>
      <c r="C64" s="52"/>
      <c r="D64" s="52"/>
      <c r="E64" s="52"/>
      <c r="F64" s="52"/>
      <c r="G64" s="53"/>
      <c r="H64" s="52"/>
      <c r="I64" s="55"/>
      <c r="J64" s="55"/>
      <c r="K64" s="56" t="str">
        <f aca="false">IF(OR(F64="",I64=""),"",F64*I64+N(J64))</f>
        <v/>
      </c>
      <c r="L64" s="61" t="str">
        <f aca="false">IF(K64="","",INDEX(Settings!$B$14:$B$18,MATCH(K64,Settings!$A$14:$A$18,1)))</f>
        <v/>
      </c>
      <c r="M64" s="56" t="str">
        <f aca="false">IF(K64="","",CEILING(MAX(K64*(1+L64),K64+Settings!$B$5)/(1-Settings!$B$4),Settings!$B$6))</f>
        <v/>
      </c>
      <c r="N64" s="55"/>
      <c r="O64" s="56" t="str">
        <f aca="false">IF(K64="","",IF(N64="",M64,N64))</f>
        <v/>
      </c>
      <c r="P64" s="56" t="str">
        <f aca="false">IF(O64="","",O64*(1-Settings!$B$4)-K64)</f>
        <v/>
      </c>
      <c r="Q64" s="61" t="str">
        <f aca="false">IF(OR(O64="",O64=0),"",P64/O64)</f>
        <v/>
      </c>
      <c r="R64" s="52"/>
      <c r="S64" s="65" t="str">
        <f aca="false">IF(OR(B64="",R64="Paid",R64="Lost",R64="Shipped"),"",B64+Settings!$B$8)</f>
        <v/>
      </c>
      <c r="T64" s="10" t="str">
        <f aca="true">IF(OR(B64="",R64="Paid",R64="Lost"),"",TODAY()-B64)</f>
        <v/>
      </c>
      <c r="U64" s="53"/>
      <c r="V64" s="66"/>
    </row>
    <row r="65" customFormat="false" ht="15" hidden="false" customHeight="false" outlineLevel="0" collapsed="false">
      <c r="A65" s="10" t="str">
        <f aca="false">IF(B65="","","Q-"&amp;TEXT(ROW()-4,"000"))</f>
        <v/>
      </c>
      <c r="B65" s="53"/>
      <c r="C65" s="52"/>
      <c r="D65" s="52"/>
      <c r="E65" s="52"/>
      <c r="F65" s="52"/>
      <c r="G65" s="53"/>
      <c r="H65" s="52"/>
      <c r="I65" s="55"/>
      <c r="J65" s="55"/>
      <c r="K65" s="56" t="str">
        <f aca="false">IF(OR(F65="",I65=""),"",F65*I65+N(J65))</f>
        <v/>
      </c>
      <c r="L65" s="61" t="str">
        <f aca="false">IF(K65="","",INDEX(Settings!$B$14:$B$18,MATCH(K65,Settings!$A$14:$A$18,1)))</f>
        <v/>
      </c>
      <c r="M65" s="56" t="str">
        <f aca="false">IF(K65="","",CEILING(MAX(K65*(1+L65),K65+Settings!$B$5)/(1-Settings!$B$4),Settings!$B$6))</f>
        <v/>
      </c>
      <c r="N65" s="55"/>
      <c r="O65" s="56" t="str">
        <f aca="false">IF(K65="","",IF(N65="",M65,N65))</f>
        <v/>
      </c>
      <c r="P65" s="56" t="str">
        <f aca="false">IF(O65="","",O65*(1-Settings!$B$4)-K65)</f>
        <v/>
      </c>
      <c r="Q65" s="61" t="str">
        <f aca="false">IF(OR(O65="",O65=0),"",P65/O65)</f>
        <v/>
      </c>
      <c r="R65" s="52"/>
      <c r="S65" s="65" t="str">
        <f aca="false">IF(OR(B65="",R65="Paid",R65="Lost",R65="Shipped"),"",B65+Settings!$B$8)</f>
        <v/>
      </c>
      <c r="T65" s="10" t="str">
        <f aca="true">IF(OR(B65="",R65="Paid",R65="Lost"),"",TODAY()-B65)</f>
        <v/>
      </c>
      <c r="U65" s="53"/>
      <c r="V65" s="66"/>
    </row>
    <row r="66" customFormat="false" ht="15" hidden="false" customHeight="false" outlineLevel="0" collapsed="false">
      <c r="A66" s="10" t="str">
        <f aca="false">IF(B66="","","Q-"&amp;TEXT(ROW()-4,"000"))</f>
        <v/>
      </c>
      <c r="B66" s="53"/>
      <c r="C66" s="52"/>
      <c r="D66" s="52"/>
      <c r="E66" s="52"/>
      <c r="F66" s="52"/>
      <c r="G66" s="53"/>
      <c r="H66" s="52"/>
      <c r="I66" s="55"/>
      <c r="J66" s="55"/>
      <c r="K66" s="56" t="str">
        <f aca="false">IF(OR(F66="",I66=""),"",F66*I66+N(J66))</f>
        <v/>
      </c>
      <c r="L66" s="61" t="str">
        <f aca="false">IF(K66="","",INDEX(Settings!$B$14:$B$18,MATCH(K66,Settings!$A$14:$A$18,1)))</f>
        <v/>
      </c>
      <c r="M66" s="56" t="str">
        <f aca="false">IF(K66="","",CEILING(MAX(K66*(1+L66),K66+Settings!$B$5)/(1-Settings!$B$4),Settings!$B$6))</f>
        <v/>
      </c>
      <c r="N66" s="55"/>
      <c r="O66" s="56" t="str">
        <f aca="false">IF(K66="","",IF(N66="",M66,N66))</f>
        <v/>
      </c>
      <c r="P66" s="56" t="str">
        <f aca="false">IF(O66="","",O66*(1-Settings!$B$4)-K66)</f>
        <v/>
      </c>
      <c r="Q66" s="61" t="str">
        <f aca="false">IF(OR(O66="",O66=0),"",P66/O66)</f>
        <v/>
      </c>
      <c r="R66" s="52"/>
      <c r="S66" s="65" t="str">
        <f aca="false">IF(OR(B66="",R66="Paid",R66="Lost",R66="Shipped"),"",B66+Settings!$B$8)</f>
        <v/>
      </c>
      <c r="T66" s="10" t="str">
        <f aca="true">IF(OR(B66="",R66="Paid",R66="Lost"),"",TODAY()-B66)</f>
        <v/>
      </c>
      <c r="U66" s="53"/>
      <c r="V66" s="66"/>
    </row>
    <row r="67" customFormat="false" ht="15" hidden="false" customHeight="false" outlineLevel="0" collapsed="false">
      <c r="A67" s="10" t="str">
        <f aca="false">IF(B67="","","Q-"&amp;TEXT(ROW()-4,"000"))</f>
        <v/>
      </c>
      <c r="B67" s="53"/>
      <c r="C67" s="52"/>
      <c r="D67" s="52"/>
      <c r="E67" s="52"/>
      <c r="F67" s="52"/>
      <c r="G67" s="53"/>
      <c r="H67" s="52"/>
      <c r="I67" s="55"/>
      <c r="J67" s="55"/>
      <c r="K67" s="56" t="str">
        <f aca="false">IF(OR(F67="",I67=""),"",F67*I67+N(J67))</f>
        <v/>
      </c>
      <c r="L67" s="61" t="str">
        <f aca="false">IF(K67="","",INDEX(Settings!$B$14:$B$18,MATCH(K67,Settings!$A$14:$A$18,1)))</f>
        <v/>
      </c>
      <c r="M67" s="56" t="str">
        <f aca="false">IF(K67="","",CEILING(MAX(K67*(1+L67),K67+Settings!$B$5)/(1-Settings!$B$4),Settings!$B$6))</f>
        <v/>
      </c>
      <c r="N67" s="55"/>
      <c r="O67" s="56" t="str">
        <f aca="false">IF(K67="","",IF(N67="",M67,N67))</f>
        <v/>
      </c>
      <c r="P67" s="56" t="str">
        <f aca="false">IF(O67="","",O67*(1-Settings!$B$4)-K67)</f>
        <v/>
      </c>
      <c r="Q67" s="61" t="str">
        <f aca="false">IF(OR(O67="",O67=0),"",P67/O67)</f>
        <v/>
      </c>
      <c r="R67" s="52"/>
      <c r="S67" s="65" t="str">
        <f aca="false">IF(OR(B67="",R67="Paid",R67="Lost",R67="Shipped"),"",B67+Settings!$B$8)</f>
        <v/>
      </c>
      <c r="T67" s="10" t="str">
        <f aca="true">IF(OR(B67="",R67="Paid",R67="Lost"),"",TODAY()-B67)</f>
        <v/>
      </c>
      <c r="U67" s="53"/>
      <c r="V67" s="66"/>
    </row>
    <row r="68" customFormat="false" ht="15" hidden="false" customHeight="false" outlineLevel="0" collapsed="false">
      <c r="A68" s="10" t="str">
        <f aca="false">IF(B68="","","Q-"&amp;TEXT(ROW()-4,"000"))</f>
        <v/>
      </c>
      <c r="B68" s="53"/>
      <c r="C68" s="52"/>
      <c r="D68" s="52"/>
      <c r="E68" s="52"/>
      <c r="F68" s="52"/>
      <c r="G68" s="53"/>
      <c r="H68" s="52"/>
      <c r="I68" s="55"/>
      <c r="J68" s="55"/>
      <c r="K68" s="56" t="str">
        <f aca="false">IF(OR(F68="",I68=""),"",F68*I68+N(J68))</f>
        <v/>
      </c>
      <c r="L68" s="61" t="str">
        <f aca="false">IF(K68="","",INDEX(Settings!$B$14:$B$18,MATCH(K68,Settings!$A$14:$A$18,1)))</f>
        <v/>
      </c>
      <c r="M68" s="56" t="str">
        <f aca="false">IF(K68="","",CEILING(MAX(K68*(1+L68),K68+Settings!$B$5)/(1-Settings!$B$4),Settings!$B$6))</f>
        <v/>
      </c>
      <c r="N68" s="55"/>
      <c r="O68" s="56" t="str">
        <f aca="false">IF(K68="","",IF(N68="",M68,N68))</f>
        <v/>
      </c>
      <c r="P68" s="56" t="str">
        <f aca="false">IF(O68="","",O68*(1-Settings!$B$4)-K68)</f>
        <v/>
      </c>
      <c r="Q68" s="61" t="str">
        <f aca="false">IF(OR(O68="",O68=0),"",P68/O68)</f>
        <v/>
      </c>
      <c r="R68" s="52"/>
      <c r="S68" s="65" t="str">
        <f aca="false">IF(OR(B68="",R68="Paid",R68="Lost",R68="Shipped"),"",B68+Settings!$B$8)</f>
        <v/>
      </c>
      <c r="T68" s="10" t="str">
        <f aca="true">IF(OR(B68="",R68="Paid",R68="Lost"),"",TODAY()-B68)</f>
        <v/>
      </c>
      <c r="U68" s="53"/>
      <c r="V68" s="66"/>
    </row>
    <row r="69" customFormat="false" ht="15" hidden="false" customHeight="false" outlineLevel="0" collapsed="false">
      <c r="A69" s="10" t="str">
        <f aca="false">IF(B69="","","Q-"&amp;TEXT(ROW()-4,"000"))</f>
        <v/>
      </c>
      <c r="B69" s="53"/>
      <c r="C69" s="52"/>
      <c r="D69" s="52"/>
      <c r="E69" s="52"/>
      <c r="F69" s="52"/>
      <c r="G69" s="53"/>
      <c r="H69" s="52"/>
      <c r="I69" s="55"/>
      <c r="J69" s="55"/>
      <c r="K69" s="56" t="str">
        <f aca="false">IF(OR(F69="",I69=""),"",F69*I69+N(J69))</f>
        <v/>
      </c>
      <c r="L69" s="61" t="str">
        <f aca="false">IF(K69="","",INDEX(Settings!$B$14:$B$18,MATCH(K69,Settings!$A$14:$A$18,1)))</f>
        <v/>
      </c>
      <c r="M69" s="56" t="str">
        <f aca="false">IF(K69="","",CEILING(MAX(K69*(1+L69),K69+Settings!$B$5)/(1-Settings!$B$4),Settings!$B$6))</f>
        <v/>
      </c>
      <c r="N69" s="55"/>
      <c r="O69" s="56" t="str">
        <f aca="false">IF(K69="","",IF(N69="",M69,N69))</f>
        <v/>
      </c>
      <c r="P69" s="56" t="str">
        <f aca="false">IF(O69="","",O69*(1-Settings!$B$4)-K69)</f>
        <v/>
      </c>
      <c r="Q69" s="61" t="str">
        <f aca="false">IF(OR(O69="",O69=0),"",P69/O69)</f>
        <v/>
      </c>
      <c r="R69" s="52"/>
      <c r="S69" s="65" t="str">
        <f aca="false">IF(OR(B69="",R69="Paid",R69="Lost",R69="Shipped"),"",B69+Settings!$B$8)</f>
        <v/>
      </c>
      <c r="T69" s="10" t="str">
        <f aca="true">IF(OR(B69="",R69="Paid",R69="Lost"),"",TODAY()-B69)</f>
        <v/>
      </c>
      <c r="U69" s="53"/>
      <c r="V69" s="66"/>
    </row>
    <row r="70" customFormat="false" ht="15" hidden="false" customHeight="false" outlineLevel="0" collapsed="false">
      <c r="A70" s="10" t="str">
        <f aca="false">IF(B70="","","Q-"&amp;TEXT(ROW()-4,"000"))</f>
        <v/>
      </c>
      <c r="B70" s="53"/>
      <c r="C70" s="52"/>
      <c r="D70" s="52"/>
      <c r="E70" s="52"/>
      <c r="F70" s="52"/>
      <c r="G70" s="53"/>
      <c r="H70" s="52"/>
      <c r="I70" s="55"/>
      <c r="J70" s="55"/>
      <c r="K70" s="56" t="str">
        <f aca="false">IF(OR(F70="",I70=""),"",F70*I70+N(J70))</f>
        <v/>
      </c>
      <c r="L70" s="61" t="str">
        <f aca="false">IF(K70="","",INDEX(Settings!$B$14:$B$18,MATCH(K70,Settings!$A$14:$A$18,1)))</f>
        <v/>
      </c>
      <c r="M70" s="56" t="str">
        <f aca="false">IF(K70="","",CEILING(MAX(K70*(1+L70),K70+Settings!$B$5)/(1-Settings!$B$4),Settings!$B$6))</f>
        <v/>
      </c>
      <c r="N70" s="55"/>
      <c r="O70" s="56" t="str">
        <f aca="false">IF(K70="","",IF(N70="",M70,N70))</f>
        <v/>
      </c>
      <c r="P70" s="56" t="str">
        <f aca="false">IF(O70="","",O70*(1-Settings!$B$4)-K70)</f>
        <v/>
      </c>
      <c r="Q70" s="61" t="str">
        <f aca="false">IF(OR(O70="",O70=0),"",P70/O70)</f>
        <v/>
      </c>
      <c r="R70" s="52"/>
      <c r="S70" s="65" t="str">
        <f aca="false">IF(OR(B70="",R70="Paid",R70="Lost",R70="Shipped"),"",B70+Settings!$B$8)</f>
        <v/>
      </c>
      <c r="T70" s="10" t="str">
        <f aca="true">IF(OR(B70="",R70="Paid",R70="Lost"),"",TODAY()-B70)</f>
        <v/>
      </c>
      <c r="U70" s="53"/>
      <c r="V70" s="66"/>
    </row>
    <row r="71" customFormat="false" ht="15" hidden="false" customHeight="false" outlineLevel="0" collapsed="false">
      <c r="A71" s="10" t="str">
        <f aca="false">IF(B71="","","Q-"&amp;TEXT(ROW()-4,"000"))</f>
        <v/>
      </c>
      <c r="B71" s="53"/>
      <c r="C71" s="52"/>
      <c r="D71" s="52"/>
      <c r="E71" s="52"/>
      <c r="F71" s="52"/>
      <c r="G71" s="53"/>
      <c r="H71" s="52"/>
      <c r="I71" s="55"/>
      <c r="J71" s="55"/>
      <c r="K71" s="56" t="str">
        <f aca="false">IF(OR(F71="",I71=""),"",F71*I71+N(J71))</f>
        <v/>
      </c>
      <c r="L71" s="61" t="str">
        <f aca="false">IF(K71="","",INDEX(Settings!$B$14:$B$18,MATCH(K71,Settings!$A$14:$A$18,1)))</f>
        <v/>
      </c>
      <c r="M71" s="56" t="str">
        <f aca="false">IF(K71="","",CEILING(MAX(K71*(1+L71),K71+Settings!$B$5)/(1-Settings!$B$4),Settings!$B$6))</f>
        <v/>
      </c>
      <c r="N71" s="55"/>
      <c r="O71" s="56" t="str">
        <f aca="false">IF(K71="","",IF(N71="",M71,N71))</f>
        <v/>
      </c>
      <c r="P71" s="56" t="str">
        <f aca="false">IF(O71="","",O71*(1-Settings!$B$4)-K71)</f>
        <v/>
      </c>
      <c r="Q71" s="61" t="str">
        <f aca="false">IF(OR(O71="",O71=0),"",P71/O71)</f>
        <v/>
      </c>
      <c r="R71" s="52"/>
      <c r="S71" s="65" t="str">
        <f aca="false">IF(OR(B71="",R71="Paid",R71="Lost",R71="Shipped"),"",B71+Settings!$B$8)</f>
        <v/>
      </c>
      <c r="T71" s="10" t="str">
        <f aca="true">IF(OR(B71="",R71="Paid",R71="Lost"),"",TODAY()-B71)</f>
        <v/>
      </c>
      <c r="U71" s="53"/>
      <c r="V71" s="66"/>
    </row>
    <row r="72" customFormat="false" ht="15" hidden="false" customHeight="false" outlineLevel="0" collapsed="false">
      <c r="A72" s="10" t="str">
        <f aca="false">IF(B72="","","Q-"&amp;TEXT(ROW()-4,"000"))</f>
        <v/>
      </c>
      <c r="B72" s="53"/>
      <c r="C72" s="52"/>
      <c r="D72" s="52"/>
      <c r="E72" s="52"/>
      <c r="F72" s="52"/>
      <c r="G72" s="53"/>
      <c r="H72" s="52"/>
      <c r="I72" s="55"/>
      <c r="J72" s="55"/>
      <c r="K72" s="56" t="str">
        <f aca="false">IF(OR(F72="",I72=""),"",F72*I72+N(J72))</f>
        <v/>
      </c>
      <c r="L72" s="61" t="str">
        <f aca="false">IF(K72="","",INDEX(Settings!$B$14:$B$18,MATCH(K72,Settings!$A$14:$A$18,1)))</f>
        <v/>
      </c>
      <c r="M72" s="56" t="str">
        <f aca="false">IF(K72="","",CEILING(MAX(K72*(1+L72),K72+Settings!$B$5)/(1-Settings!$B$4),Settings!$B$6))</f>
        <v/>
      </c>
      <c r="N72" s="55"/>
      <c r="O72" s="56" t="str">
        <f aca="false">IF(K72="","",IF(N72="",M72,N72))</f>
        <v/>
      </c>
      <c r="P72" s="56" t="str">
        <f aca="false">IF(O72="","",O72*(1-Settings!$B$4)-K72)</f>
        <v/>
      </c>
      <c r="Q72" s="61" t="str">
        <f aca="false">IF(OR(O72="",O72=0),"",P72/O72)</f>
        <v/>
      </c>
      <c r="R72" s="52"/>
      <c r="S72" s="65" t="str">
        <f aca="false">IF(OR(B72="",R72="Paid",R72="Lost",R72="Shipped"),"",B72+Settings!$B$8)</f>
        <v/>
      </c>
      <c r="T72" s="10" t="str">
        <f aca="true">IF(OR(B72="",R72="Paid",R72="Lost"),"",TODAY()-B72)</f>
        <v/>
      </c>
      <c r="U72" s="53"/>
      <c r="V72" s="66"/>
    </row>
    <row r="73" customFormat="false" ht="15" hidden="false" customHeight="false" outlineLevel="0" collapsed="false">
      <c r="A73" s="10" t="str">
        <f aca="false">IF(B73="","","Q-"&amp;TEXT(ROW()-4,"000"))</f>
        <v/>
      </c>
      <c r="B73" s="53"/>
      <c r="C73" s="52"/>
      <c r="D73" s="52"/>
      <c r="E73" s="52"/>
      <c r="F73" s="52"/>
      <c r="G73" s="53"/>
      <c r="H73" s="52"/>
      <c r="I73" s="55"/>
      <c r="J73" s="55"/>
      <c r="K73" s="56" t="str">
        <f aca="false">IF(OR(F73="",I73=""),"",F73*I73+N(J73))</f>
        <v/>
      </c>
      <c r="L73" s="61" t="str">
        <f aca="false">IF(K73="","",INDEX(Settings!$B$14:$B$18,MATCH(K73,Settings!$A$14:$A$18,1)))</f>
        <v/>
      </c>
      <c r="M73" s="56" t="str">
        <f aca="false">IF(K73="","",CEILING(MAX(K73*(1+L73),K73+Settings!$B$5)/(1-Settings!$B$4),Settings!$B$6))</f>
        <v/>
      </c>
      <c r="N73" s="55"/>
      <c r="O73" s="56" t="str">
        <f aca="false">IF(K73="","",IF(N73="",M73,N73))</f>
        <v/>
      </c>
      <c r="P73" s="56" t="str">
        <f aca="false">IF(O73="","",O73*(1-Settings!$B$4)-K73)</f>
        <v/>
      </c>
      <c r="Q73" s="61" t="str">
        <f aca="false">IF(OR(O73="",O73=0),"",P73/O73)</f>
        <v/>
      </c>
      <c r="R73" s="52"/>
      <c r="S73" s="65" t="str">
        <f aca="false">IF(OR(B73="",R73="Paid",R73="Lost",R73="Shipped"),"",B73+Settings!$B$8)</f>
        <v/>
      </c>
      <c r="T73" s="10" t="str">
        <f aca="true">IF(OR(B73="",R73="Paid",R73="Lost"),"",TODAY()-B73)</f>
        <v/>
      </c>
      <c r="U73" s="53"/>
      <c r="V73" s="66"/>
    </row>
    <row r="74" customFormat="false" ht="15" hidden="false" customHeight="false" outlineLevel="0" collapsed="false">
      <c r="A74" s="10" t="str">
        <f aca="false">IF(B74="","","Q-"&amp;TEXT(ROW()-4,"000"))</f>
        <v/>
      </c>
      <c r="B74" s="53"/>
      <c r="C74" s="52"/>
      <c r="D74" s="52"/>
      <c r="E74" s="52"/>
      <c r="F74" s="52"/>
      <c r="G74" s="53"/>
      <c r="H74" s="52"/>
      <c r="I74" s="55"/>
      <c r="J74" s="55"/>
      <c r="K74" s="56" t="str">
        <f aca="false">IF(OR(F74="",I74=""),"",F74*I74+N(J74))</f>
        <v/>
      </c>
      <c r="L74" s="61" t="str">
        <f aca="false">IF(K74="","",INDEX(Settings!$B$14:$B$18,MATCH(K74,Settings!$A$14:$A$18,1)))</f>
        <v/>
      </c>
      <c r="M74" s="56" t="str">
        <f aca="false">IF(K74="","",CEILING(MAX(K74*(1+L74),K74+Settings!$B$5)/(1-Settings!$B$4),Settings!$B$6))</f>
        <v/>
      </c>
      <c r="N74" s="55"/>
      <c r="O74" s="56" t="str">
        <f aca="false">IF(K74="","",IF(N74="",M74,N74))</f>
        <v/>
      </c>
      <c r="P74" s="56" t="str">
        <f aca="false">IF(O74="","",O74*(1-Settings!$B$4)-K74)</f>
        <v/>
      </c>
      <c r="Q74" s="61" t="str">
        <f aca="false">IF(OR(O74="",O74=0),"",P74/O74)</f>
        <v/>
      </c>
      <c r="R74" s="52"/>
      <c r="S74" s="65" t="str">
        <f aca="false">IF(OR(B74="",R74="Paid",R74="Lost",R74="Shipped"),"",B74+Settings!$B$8)</f>
        <v/>
      </c>
      <c r="T74" s="10" t="str">
        <f aca="true">IF(OR(B74="",R74="Paid",R74="Lost"),"",TODAY()-B74)</f>
        <v/>
      </c>
      <c r="U74" s="53"/>
      <c r="V74" s="66"/>
    </row>
    <row r="75" customFormat="false" ht="15" hidden="false" customHeight="false" outlineLevel="0" collapsed="false">
      <c r="A75" s="10" t="str">
        <f aca="false">IF(B75="","","Q-"&amp;TEXT(ROW()-4,"000"))</f>
        <v/>
      </c>
      <c r="B75" s="53"/>
      <c r="C75" s="52"/>
      <c r="D75" s="52"/>
      <c r="E75" s="52"/>
      <c r="F75" s="52"/>
      <c r="G75" s="53"/>
      <c r="H75" s="52"/>
      <c r="I75" s="55"/>
      <c r="J75" s="55"/>
      <c r="K75" s="56" t="str">
        <f aca="false">IF(OR(F75="",I75=""),"",F75*I75+N(J75))</f>
        <v/>
      </c>
      <c r="L75" s="61" t="str">
        <f aca="false">IF(K75="","",INDEX(Settings!$B$14:$B$18,MATCH(K75,Settings!$A$14:$A$18,1)))</f>
        <v/>
      </c>
      <c r="M75" s="56" t="str">
        <f aca="false">IF(K75="","",CEILING(MAX(K75*(1+L75),K75+Settings!$B$5)/(1-Settings!$B$4),Settings!$B$6))</f>
        <v/>
      </c>
      <c r="N75" s="55"/>
      <c r="O75" s="56" t="str">
        <f aca="false">IF(K75="","",IF(N75="",M75,N75))</f>
        <v/>
      </c>
      <c r="P75" s="56" t="str">
        <f aca="false">IF(O75="","",O75*(1-Settings!$B$4)-K75)</f>
        <v/>
      </c>
      <c r="Q75" s="61" t="str">
        <f aca="false">IF(OR(O75="",O75=0),"",P75/O75)</f>
        <v/>
      </c>
      <c r="R75" s="52"/>
      <c r="S75" s="65" t="str">
        <f aca="false">IF(OR(B75="",R75="Paid",R75="Lost",R75="Shipped"),"",B75+Settings!$B$8)</f>
        <v/>
      </c>
      <c r="T75" s="10" t="str">
        <f aca="true">IF(OR(B75="",R75="Paid",R75="Lost"),"",TODAY()-B75)</f>
        <v/>
      </c>
      <c r="U75" s="53"/>
      <c r="V75" s="66"/>
    </row>
    <row r="76" customFormat="false" ht="15" hidden="false" customHeight="false" outlineLevel="0" collapsed="false">
      <c r="A76" s="10" t="str">
        <f aca="false">IF(B76="","","Q-"&amp;TEXT(ROW()-4,"000"))</f>
        <v/>
      </c>
      <c r="B76" s="53"/>
      <c r="C76" s="52"/>
      <c r="D76" s="52"/>
      <c r="E76" s="52"/>
      <c r="F76" s="52"/>
      <c r="G76" s="53"/>
      <c r="H76" s="52"/>
      <c r="I76" s="55"/>
      <c r="J76" s="55"/>
      <c r="K76" s="56" t="str">
        <f aca="false">IF(OR(F76="",I76=""),"",F76*I76+N(J76))</f>
        <v/>
      </c>
      <c r="L76" s="61" t="str">
        <f aca="false">IF(K76="","",INDEX(Settings!$B$14:$B$18,MATCH(K76,Settings!$A$14:$A$18,1)))</f>
        <v/>
      </c>
      <c r="M76" s="56" t="str">
        <f aca="false">IF(K76="","",CEILING(MAX(K76*(1+L76),K76+Settings!$B$5)/(1-Settings!$B$4),Settings!$B$6))</f>
        <v/>
      </c>
      <c r="N76" s="55"/>
      <c r="O76" s="56" t="str">
        <f aca="false">IF(K76="","",IF(N76="",M76,N76))</f>
        <v/>
      </c>
      <c r="P76" s="56" t="str">
        <f aca="false">IF(O76="","",O76*(1-Settings!$B$4)-K76)</f>
        <v/>
      </c>
      <c r="Q76" s="61" t="str">
        <f aca="false">IF(OR(O76="",O76=0),"",P76/O76)</f>
        <v/>
      </c>
      <c r="R76" s="52"/>
      <c r="S76" s="65" t="str">
        <f aca="false">IF(OR(B76="",R76="Paid",R76="Lost",R76="Shipped"),"",B76+Settings!$B$8)</f>
        <v/>
      </c>
      <c r="T76" s="10" t="str">
        <f aca="true">IF(OR(B76="",R76="Paid",R76="Lost"),"",TODAY()-B76)</f>
        <v/>
      </c>
      <c r="U76" s="53"/>
      <c r="V76" s="66"/>
    </row>
    <row r="77" customFormat="false" ht="15" hidden="false" customHeight="false" outlineLevel="0" collapsed="false">
      <c r="A77" s="10" t="str">
        <f aca="false">IF(B77="","","Q-"&amp;TEXT(ROW()-4,"000"))</f>
        <v/>
      </c>
      <c r="B77" s="53"/>
      <c r="C77" s="52"/>
      <c r="D77" s="52"/>
      <c r="E77" s="52"/>
      <c r="F77" s="52"/>
      <c r="G77" s="53"/>
      <c r="H77" s="52"/>
      <c r="I77" s="55"/>
      <c r="J77" s="55"/>
      <c r="K77" s="56" t="str">
        <f aca="false">IF(OR(F77="",I77=""),"",F77*I77+N(J77))</f>
        <v/>
      </c>
      <c r="L77" s="61" t="str">
        <f aca="false">IF(K77="","",INDEX(Settings!$B$14:$B$18,MATCH(K77,Settings!$A$14:$A$18,1)))</f>
        <v/>
      </c>
      <c r="M77" s="56" t="str">
        <f aca="false">IF(K77="","",CEILING(MAX(K77*(1+L77),K77+Settings!$B$5)/(1-Settings!$B$4),Settings!$B$6))</f>
        <v/>
      </c>
      <c r="N77" s="55"/>
      <c r="O77" s="56" t="str">
        <f aca="false">IF(K77="","",IF(N77="",M77,N77))</f>
        <v/>
      </c>
      <c r="P77" s="56" t="str">
        <f aca="false">IF(O77="","",O77*(1-Settings!$B$4)-K77)</f>
        <v/>
      </c>
      <c r="Q77" s="61" t="str">
        <f aca="false">IF(OR(O77="",O77=0),"",P77/O77)</f>
        <v/>
      </c>
      <c r="R77" s="52"/>
      <c r="S77" s="65" t="str">
        <f aca="false">IF(OR(B77="",R77="Paid",R77="Lost",R77="Shipped"),"",B77+Settings!$B$8)</f>
        <v/>
      </c>
      <c r="T77" s="10" t="str">
        <f aca="true">IF(OR(B77="",R77="Paid",R77="Lost"),"",TODAY()-B77)</f>
        <v/>
      </c>
      <c r="U77" s="53"/>
      <c r="V77" s="66"/>
    </row>
    <row r="78" customFormat="false" ht="15" hidden="false" customHeight="false" outlineLevel="0" collapsed="false">
      <c r="A78" s="10" t="str">
        <f aca="false">IF(B78="","","Q-"&amp;TEXT(ROW()-4,"000"))</f>
        <v/>
      </c>
      <c r="B78" s="53"/>
      <c r="C78" s="52"/>
      <c r="D78" s="52"/>
      <c r="E78" s="52"/>
      <c r="F78" s="52"/>
      <c r="G78" s="53"/>
      <c r="H78" s="52"/>
      <c r="I78" s="55"/>
      <c r="J78" s="55"/>
      <c r="K78" s="56" t="str">
        <f aca="false">IF(OR(F78="",I78=""),"",F78*I78+N(J78))</f>
        <v/>
      </c>
      <c r="L78" s="61" t="str">
        <f aca="false">IF(K78="","",INDEX(Settings!$B$14:$B$18,MATCH(K78,Settings!$A$14:$A$18,1)))</f>
        <v/>
      </c>
      <c r="M78" s="56" t="str">
        <f aca="false">IF(K78="","",CEILING(MAX(K78*(1+L78),K78+Settings!$B$5)/(1-Settings!$B$4),Settings!$B$6))</f>
        <v/>
      </c>
      <c r="N78" s="55"/>
      <c r="O78" s="56" t="str">
        <f aca="false">IF(K78="","",IF(N78="",M78,N78))</f>
        <v/>
      </c>
      <c r="P78" s="56" t="str">
        <f aca="false">IF(O78="","",O78*(1-Settings!$B$4)-K78)</f>
        <v/>
      </c>
      <c r="Q78" s="61" t="str">
        <f aca="false">IF(OR(O78="",O78=0),"",P78/O78)</f>
        <v/>
      </c>
      <c r="R78" s="52"/>
      <c r="S78" s="65" t="str">
        <f aca="false">IF(OR(B78="",R78="Paid",R78="Lost",R78="Shipped"),"",B78+Settings!$B$8)</f>
        <v/>
      </c>
      <c r="T78" s="10" t="str">
        <f aca="true">IF(OR(B78="",R78="Paid",R78="Lost"),"",TODAY()-B78)</f>
        <v/>
      </c>
      <c r="U78" s="53"/>
      <c r="V78" s="66"/>
    </row>
    <row r="79" customFormat="false" ht="15" hidden="false" customHeight="false" outlineLevel="0" collapsed="false">
      <c r="A79" s="10" t="str">
        <f aca="false">IF(B79="","","Q-"&amp;TEXT(ROW()-4,"000"))</f>
        <v/>
      </c>
      <c r="B79" s="53"/>
      <c r="C79" s="52"/>
      <c r="D79" s="52"/>
      <c r="E79" s="52"/>
      <c r="F79" s="52"/>
      <c r="G79" s="53"/>
      <c r="H79" s="52"/>
      <c r="I79" s="55"/>
      <c r="J79" s="55"/>
      <c r="K79" s="56" t="str">
        <f aca="false">IF(OR(F79="",I79=""),"",F79*I79+N(J79))</f>
        <v/>
      </c>
      <c r="L79" s="61" t="str">
        <f aca="false">IF(K79="","",INDEX(Settings!$B$14:$B$18,MATCH(K79,Settings!$A$14:$A$18,1)))</f>
        <v/>
      </c>
      <c r="M79" s="56" t="str">
        <f aca="false">IF(K79="","",CEILING(MAX(K79*(1+L79),K79+Settings!$B$5)/(1-Settings!$B$4),Settings!$B$6))</f>
        <v/>
      </c>
      <c r="N79" s="55"/>
      <c r="O79" s="56" t="str">
        <f aca="false">IF(K79="","",IF(N79="",M79,N79))</f>
        <v/>
      </c>
      <c r="P79" s="56" t="str">
        <f aca="false">IF(O79="","",O79*(1-Settings!$B$4)-K79)</f>
        <v/>
      </c>
      <c r="Q79" s="61" t="str">
        <f aca="false">IF(OR(O79="",O79=0),"",P79/O79)</f>
        <v/>
      </c>
      <c r="R79" s="52"/>
      <c r="S79" s="65" t="str">
        <f aca="false">IF(OR(B79="",R79="Paid",R79="Lost",R79="Shipped"),"",B79+Settings!$B$8)</f>
        <v/>
      </c>
      <c r="T79" s="10" t="str">
        <f aca="true">IF(OR(B79="",R79="Paid",R79="Lost"),"",TODAY()-B79)</f>
        <v/>
      </c>
      <c r="U79" s="53"/>
      <c r="V79" s="66"/>
    </row>
    <row r="80" customFormat="false" ht="15" hidden="false" customHeight="false" outlineLevel="0" collapsed="false">
      <c r="A80" s="10" t="str">
        <f aca="false">IF(B80="","","Q-"&amp;TEXT(ROW()-4,"000"))</f>
        <v/>
      </c>
      <c r="B80" s="53"/>
      <c r="C80" s="52"/>
      <c r="D80" s="52"/>
      <c r="E80" s="52"/>
      <c r="F80" s="52"/>
      <c r="G80" s="53"/>
      <c r="H80" s="52"/>
      <c r="I80" s="55"/>
      <c r="J80" s="55"/>
      <c r="K80" s="56" t="str">
        <f aca="false">IF(OR(F80="",I80=""),"",F80*I80+N(J80))</f>
        <v/>
      </c>
      <c r="L80" s="61" t="str">
        <f aca="false">IF(K80="","",INDEX(Settings!$B$14:$B$18,MATCH(K80,Settings!$A$14:$A$18,1)))</f>
        <v/>
      </c>
      <c r="M80" s="56" t="str">
        <f aca="false">IF(K80="","",CEILING(MAX(K80*(1+L80),K80+Settings!$B$5)/(1-Settings!$B$4),Settings!$B$6))</f>
        <v/>
      </c>
      <c r="N80" s="55"/>
      <c r="O80" s="56" t="str">
        <f aca="false">IF(K80="","",IF(N80="",M80,N80))</f>
        <v/>
      </c>
      <c r="P80" s="56" t="str">
        <f aca="false">IF(O80="","",O80*(1-Settings!$B$4)-K80)</f>
        <v/>
      </c>
      <c r="Q80" s="61" t="str">
        <f aca="false">IF(OR(O80="",O80=0),"",P80/O80)</f>
        <v/>
      </c>
      <c r="R80" s="52"/>
      <c r="S80" s="65" t="str">
        <f aca="false">IF(OR(B80="",R80="Paid",R80="Lost",R80="Shipped"),"",B80+Settings!$B$8)</f>
        <v/>
      </c>
      <c r="T80" s="10" t="str">
        <f aca="true">IF(OR(B80="",R80="Paid",R80="Lost"),"",TODAY()-B80)</f>
        <v/>
      </c>
      <c r="U80" s="53"/>
      <c r="V80" s="66"/>
    </row>
    <row r="81" customFormat="false" ht="15" hidden="false" customHeight="false" outlineLevel="0" collapsed="false">
      <c r="A81" s="10" t="str">
        <f aca="false">IF(B81="","","Q-"&amp;TEXT(ROW()-4,"000"))</f>
        <v/>
      </c>
      <c r="B81" s="53"/>
      <c r="C81" s="52"/>
      <c r="D81" s="52"/>
      <c r="E81" s="52"/>
      <c r="F81" s="52"/>
      <c r="G81" s="53"/>
      <c r="H81" s="52"/>
      <c r="I81" s="55"/>
      <c r="J81" s="55"/>
      <c r="K81" s="56" t="str">
        <f aca="false">IF(OR(F81="",I81=""),"",F81*I81+N(J81))</f>
        <v/>
      </c>
      <c r="L81" s="61" t="str">
        <f aca="false">IF(K81="","",INDEX(Settings!$B$14:$B$18,MATCH(K81,Settings!$A$14:$A$18,1)))</f>
        <v/>
      </c>
      <c r="M81" s="56" t="str">
        <f aca="false">IF(K81="","",CEILING(MAX(K81*(1+L81),K81+Settings!$B$5)/(1-Settings!$B$4),Settings!$B$6))</f>
        <v/>
      </c>
      <c r="N81" s="55"/>
      <c r="O81" s="56" t="str">
        <f aca="false">IF(K81="","",IF(N81="",M81,N81))</f>
        <v/>
      </c>
      <c r="P81" s="56" t="str">
        <f aca="false">IF(O81="","",O81*(1-Settings!$B$4)-K81)</f>
        <v/>
      </c>
      <c r="Q81" s="61" t="str">
        <f aca="false">IF(OR(O81="",O81=0),"",P81/O81)</f>
        <v/>
      </c>
      <c r="R81" s="52"/>
      <c r="S81" s="65" t="str">
        <f aca="false">IF(OR(B81="",R81="Paid",R81="Lost",R81="Shipped"),"",B81+Settings!$B$8)</f>
        <v/>
      </c>
      <c r="T81" s="10" t="str">
        <f aca="true">IF(OR(B81="",R81="Paid",R81="Lost"),"",TODAY()-B81)</f>
        <v/>
      </c>
      <c r="U81" s="53"/>
      <c r="V81" s="66"/>
    </row>
    <row r="82" customFormat="false" ht="15" hidden="false" customHeight="false" outlineLevel="0" collapsed="false">
      <c r="A82" s="10" t="str">
        <f aca="false">IF(B82="","","Q-"&amp;TEXT(ROW()-4,"000"))</f>
        <v/>
      </c>
      <c r="B82" s="53"/>
      <c r="C82" s="52"/>
      <c r="D82" s="52"/>
      <c r="E82" s="52"/>
      <c r="F82" s="52"/>
      <c r="G82" s="53"/>
      <c r="H82" s="52"/>
      <c r="I82" s="55"/>
      <c r="J82" s="55"/>
      <c r="K82" s="56" t="str">
        <f aca="false">IF(OR(F82="",I82=""),"",F82*I82+N(J82))</f>
        <v/>
      </c>
      <c r="L82" s="61" t="str">
        <f aca="false">IF(K82="","",INDEX(Settings!$B$14:$B$18,MATCH(K82,Settings!$A$14:$A$18,1)))</f>
        <v/>
      </c>
      <c r="M82" s="56" t="str">
        <f aca="false">IF(K82="","",CEILING(MAX(K82*(1+L82),K82+Settings!$B$5)/(1-Settings!$B$4),Settings!$B$6))</f>
        <v/>
      </c>
      <c r="N82" s="55"/>
      <c r="O82" s="56" t="str">
        <f aca="false">IF(K82="","",IF(N82="",M82,N82))</f>
        <v/>
      </c>
      <c r="P82" s="56" t="str">
        <f aca="false">IF(O82="","",O82*(1-Settings!$B$4)-K82)</f>
        <v/>
      </c>
      <c r="Q82" s="61" t="str">
        <f aca="false">IF(OR(O82="",O82=0),"",P82/O82)</f>
        <v/>
      </c>
      <c r="R82" s="52"/>
      <c r="S82" s="65" t="str">
        <f aca="false">IF(OR(B82="",R82="Paid",R82="Lost",R82="Shipped"),"",B82+Settings!$B$8)</f>
        <v/>
      </c>
      <c r="T82" s="10" t="str">
        <f aca="true">IF(OR(B82="",R82="Paid",R82="Lost"),"",TODAY()-B82)</f>
        <v/>
      </c>
      <c r="U82" s="53"/>
      <c r="V82" s="66"/>
    </row>
    <row r="83" customFormat="false" ht="15" hidden="false" customHeight="false" outlineLevel="0" collapsed="false">
      <c r="A83" s="10" t="str">
        <f aca="false">IF(B83="","","Q-"&amp;TEXT(ROW()-4,"000"))</f>
        <v/>
      </c>
      <c r="B83" s="53"/>
      <c r="C83" s="52"/>
      <c r="D83" s="52"/>
      <c r="E83" s="52"/>
      <c r="F83" s="52"/>
      <c r="G83" s="53"/>
      <c r="H83" s="52"/>
      <c r="I83" s="55"/>
      <c r="J83" s="55"/>
      <c r="K83" s="56" t="str">
        <f aca="false">IF(OR(F83="",I83=""),"",F83*I83+N(J83))</f>
        <v/>
      </c>
      <c r="L83" s="61" t="str">
        <f aca="false">IF(K83="","",INDEX(Settings!$B$14:$B$18,MATCH(K83,Settings!$A$14:$A$18,1)))</f>
        <v/>
      </c>
      <c r="M83" s="56" t="str">
        <f aca="false">IF(K83="","",CEILING(MAX(K83*(1+L83),K83+Settings!$B$5)/(1-Settings!$B$4),Settings!$B$6))</f>
        <v/>
      </c>
      <c r="N83" s="55"/>
      <c r="O83" s="56" t="str">
        <f aca="false">IF(K83="","",IF(N83="",M83,N83))</f>
        <v/>
      </c>
      <c r="P83" s="56" t="str">
        <f aca="false">IF(O83="","",O83*(1-Settings!$B$4)-K83)</f>
        <v/>
      </c>
      <c r="Q83" s="61" t="str">
        <f aca="false">IF(OR(O83="",O83=0),"",P83/O83)</f>
        <v/>
      </c>
      <c r="R83" s="52"/>
      <c r="S83" s="65" t="str">
        <f aca="false">IF(OR(B83="",R83="Paid",R83="Lost",R83="Shipped"),"",B83+Settings!$B$8)</f>
        <v/>
      </c>
      <c r="T83" s="10" t="str">
        <f aca="true">IF(OR(B83="",R83="Paid",R83="Lost"),"",TODAY()-B83)</f>
        <v/>
      </c>
      <c r="U83" s="53"/>
      <c r="V83" s="66"/>
    </row>
    <row r="84" customFormat="false" ht="15" hidden="false" customHeight="false" outlineLevel="0" collapsed="false">
      <c r="A84" s="10" t="str">
        <f aca="false">IF(B84="","","Q-"&amp;TEXT(ROW()-4,"000"))</f>
        <v/>
      </c>
      <c r="B84" s="53"/>
      <c r="C84" s="52"/>
      <c r="D84" s="52"/>
      <c r="E84" s="52"/>
      <c r="F84" s="52"/>
      <c r="G84" s="53"/>
      <c r="H84" s="52"/>
      <c r="I84" s="55"/>
      <c r="J84" s="55"/>
      <c r="K84" s="56" t="str">
        <f aca="false">IF(OR(F84="",I84=""),"",F84*I84+N(J84))</f>
        <v/>
      </c>
      <c r="L84" s="61" t="str">
        <f aca="false">IF(K84="","",INDEX(Settings!$B$14:$B$18,MATCH(K84,Settings!$A$14:$A$18,1)))</f>
        <v/>
      </c>
      <c r="M84" s="56" t="str">
        <f aca="false">IF(K84="","",CEILING(MAX(K84*(1+L84),K84+Settings!$B$5)/(1-Settings!$B$4),Settings!$B$6))</f>
        <v/>
      </c>
      <c r="N84" s="55"/>
      <c r="O84" s="56" t="str">
        <f aca="false">IF(K84="","",IF(N84="",M84,N84))</f>
        <v/>
      </c>
      <c r="P84" s="56" t="str">
        <f aca="false">IF(O84="","",O84*(1-Settings!$B$4)-K84)</f>
        <v/>
      </c>
      <c r="Q84" s="61" t="str">
        <f aca="false">IF(OR(O84="",O84=0),"",P84/O84)</f>
        <v/>
      </c>
      <c r="R84" s="52"/>
      <c r="S84" s="65" t="str">
        <f aca="false">IF(OR(B84="",R84="Paid",R84="Lost",R84="Shipped"),"",B84+Settings!$B$8)</f>
        <v/>
      </c>
      <c r="T84" s="10" t="str">
        <f aca="true">IF(OR(B84="",R84="Paid",R84="Lost"),"",TODAY()-B84)</f>
        <v/>
      </c>
      <c r="U84" s="53"/>
      <c r="V84" s="66"/>
    </row>
    <row r="85" customFormat="false" ht="15" hidden="false" customHeight="false" outlineLevel="0" collapsed="false">
      <c r="A85" s="10" t="str">
        <f aca="false">IF(B85="","","Q-"&amp;TEXT(ROW()-4,"000"))</f>
        <v/>
      </c>
      <c r="B85" s="53"/>
      <c r="C85" s="52"/>
      <c r="D85" s="52"/>
      <c r="E85" s="52"/>
      <c r="F85" s="52"/>
      <c r="G85" s="53"/>
      <c r="H85" s="52"/>
      <c r="I85" s="55"/>
      <c r="J85" s="55"/>
      <c r="K85" s="56" t="str">
        <f aca="false">IF(OR(F85="",I85=""),"",F85*I85+N(J85))</f>
        <v/>
      </c>
      <c r="L85" s="61" t="str">
        <f aca="false">IF(K85="","",INDEX(Settings!$B$14:$B$18,MATCH(K85,Settings!$A$14:$A$18,1)))</f>
        <v/>
      </c>
      <c r="M85" s="56" t="str">
        <f aca="false">IF(K85="","",CEILING(MAX(K85*(1+L85),K85+Settings!$B$5)/(1-Settings!$B$4),Settings!$B$6))</f>
        <v/>
      </c>
      <c r="N85" s="55"/>
      <c r="O85" s="56" t="str">
        <f aca="false">IF(K85="","",IF(N85="",M85,N85))</f>
        <v/>
      </c>
      <c r="P85" s="56" t="str">
        <f aca="false">IF(O85="","",O85*(1-Settings!$B$4)-K85)</f>
        <v/>
      </c>
      <c r="Q85" s="61" t="str">
        <f aca="false">IF(OR(O85="",O85=0),"",P85/O85)</f>
        <v/>
      </c>
      <c r="R85" s="52"/>
      <c r="S85" s="65" t="str">
        <f aca="false">IF(OR(B85="",R85="Paid",R85="Lost",R85="Shipped"),"",B85+Settings!$B$8)</f>
        <v/>
      </c>
      <c r="T85" s="10" t="str">
        <f aca="true">IF(OR(B85="",R85="Paid",R85="Lost"),"",TODAY()-B85)</f>
        <v/>
      </c>
      <c r="U85" s="53"/>
      <c r="V85" s="66"/>
    </row>
    <row r="86" customFormat="false" ht="15" hidden="false" customHeight="false" outlineLevel="0" collapsed="false">
      <c r="A86" s="10" t="str">
        <f aca="false">IF(B86="","","Q-"&amp;TEXT(ROW()-4,"000"))</f>
        <v/>
      </c>
      <c r="B86" s="53"/>
      <c r="C86" s="52"/>
      <c r="D86" s="52"/>
      <c r="E86" s="52"/>
      <c r="F86" s="52"/>
      <c r="G86" s="53"/>
      <c r="H86" s="52"/>
      <c r="I86" s="55"/>
      <c r="J86" s="55"/>
      <c r="K86" s="56" t="str">
        <f aca="false">IF(OR(F86="",I86=""),"",F86*I86+N(J86))</f>
        <v/>
      </c>
      <c r="L86" s="61" t="str">
        <f aca="false">IF(K86="","",INDEX(Settings!$B$14:$B$18,MATCH(K86,Settings!$A$14:$A$18,1)))</f>
        <v/>
      </c>
      <c r="M86" s="56" t="str">
        <f aca="false">IF(K86="","",CEILING(MAX(K86*(1+L86),K86+Settings!$B$5)/(1-Settings!$B$4),Settings!$B$6))</f>
        <v/>
      </c>
      <c r="N86" s="55"/>
      <c r="O86" s="56" t="str">
        <f aca="false">IF(K86="","",IF(N86="",M86,N86))</f>
        <v/>
      </c>
      <c r="P86" s="56" t="str">
        <f aca="false">IF(O86="","",O86*(1-Settings!$B$4)-K86)</f>
        <v/>
      </c>
      <c r="Q86" s="61" t="str">
        <f aca="false">IF(OR(O86="",O86=0),"",P86/O86)</f>
        <v/>
      </c>
      <c r="R86" s="52"/>
      <c r="S86" s="65" t="str">
        <f aca="false">IF(OR(B86="",R86="Paid",R86="Lost",R86="Shipped"),"",B86+Settings!$B$8)</f>
        <v/>
      </c>
      <c r="T86" s="10" t="str">
        <f aca="true">IF(OR(B86="",R86="Paid",R86="Lost"),"",TODAY()-B86)</f>
        <v/>
      </c>
      <c r="U86" s="53"/>
      <c r="V86" s="66"/>
    </row>
    <row r="87" customFormat="false" ht="15" hidden="false" customHeight="false" outlineLevel="0" collapsed="false">
      <c r="A87" s="10" t="str">
        <f aca="false">IF(B87="","","Q-"&amp;TEXT(ROW()-4,"000"))</f>
        <v/>
      </c>
      <c r="B87" s="53"/>
      <c r="C87" s="52"/>
      <c r="D87" s="52"/>
      <c r="E87" s="52"/>
      <c r="F87" s="52"/>
      <c r="G87" s="53"/>
      <c r="H87" s="52"/>
      <c r="I87" s="55"/>
      <c r="J87" s="55"/>
      <c r="K87" s="56" t="str">
        <f aca="false">IF(OR(F87="",I87=""),"",F87*I87+N(J87))</f>
        <v/>
      </c>
      <c r="L87" s="61" t="str">
        <f aca="false">IF(K87="","",INDEX(Settings!$B$14:$B$18,MATCH(K87,Settings!$A$14:$A$18,1)))</f>
        <v/>
      </c>
      <c r="M87" s="56" t="str">
        <f aca="false">IF(K87="","",CEILING(MAX(K87*(1+L87),K87+Settings!$B$5)/(1-Settings!$B$4),Settings!$B$6))</f>
        <v/>
      </c>
      <c r="N87" s="55"/>
      <c r="O87" s="56" t="str">
        <f aca="false">IF(K87="","",IF(N87="",M87,N87))</f>
        <v/>
      </c>
      <c r="P87" s="56" t="str">
        <f aca="false">IF(O87="","",O87*(1-Settings!$B$4)-K87)</f>
        <v/>
      </c>
      <c r="Q87" s="61" t="str">
        <f aca="false">IF(OR(O87="",O87=0),"",P87/O87)</f>
        <v/>
      </c>
      <c r="R87" s="52"/>
      <c r="S87" s="65" t="str">
        <f aca="false">IF(OR(B87="",R87="Paid",R87="Lost",R87="Shipped"),"",B87+Settings!$B$8)</f>
        <v/>
      </c>
      <c r="T87" s="10" t="str">
        <f aca="true">IF(OR(B87="",R87="Paid",R87="Lost"),"",TODAY()-B87)</f>
        <v/>
      </c>
      <c r="U87" s="53"/>
      <c r="V87" s="66"/>
    </row>
    <row r="88" customFormat="false" ht="15" hidden="false" customHeight="false" outlineLevel="0" collapsed="false">
      <c r="A88" s="10" t="str">
        <f aca="false">IF(B88="","","Q-"&amp;TEXT(ROW()-4,"000"))</f>
        <v/>
      </c>
      <c r="B88" s="53"/>
      <c r="C88" s="52"/>
      <c r="D88" s="52"/>
      <c r="E88" s="52"/>
      <c r="F88" s="52"/>
      <c r="G88" s="53"/>
      <c r="H88" s="52"/>
      <c r="I88" s="55"/>
      <c r="J88" s="55"/>
      <c r="K88" s="56" t="str">
        <f aca="false">IF(OR(F88="",I88=""),"",F88*I88+N(J88))</f>
        <v/>
      </c>
      <c r="L88" s="61" t="str">
        <f aca="false">IF(K88="","",INDEX(Settings!$B$14:$B$18,MATCH(K88,Settings!$A$14:$A$18,1)))</f>
        <v/>
      </c>
      <c r="M88" s="56" t="str">
        <f aca="false">IF(K88="","",CEILING(MAX(K88*(1+L88),K88+Settings!$B$5)/(1-Settings!$B$4),Settings!$B$6))</f>
        <v/>
      </c>
      <c r="N88" s="55"/>
      <c r="O88" s="56" t="str">
        <f aca="false">IF(K88="","",IF(N88="",M88,N88))</f>
        <v/>
      </c>
      <c r="P88" s="56" t="str">
        <f aca="false">IF(O88="","",O88*(1-Settings!$B$4)-K88)</f>
        <v/>
      </c>
      <c r="Q88" s="61" t="str">
        <f aca="false">IF(OR(O88="",O88=0),"",P88/O88)</f>
        <v/>
      </c>
      <c r="R88" s="52"/>
      <c r="S88" s="65" t="str">
        <f aca="false">IF(OR(B88="",R88="Paid",R88="Lost",R88="Shipped"),"",B88+Settings!$B$8)</f>
        <v/>
      </c>
      <c r="T88" s="10" t="str">
        <f aca="true">IF(OR(B88="",R88="Paid",R88="Lost"),"",TODAY()-B88)</f>
        <v/>
      </c>
      <c r="U88" s="53"/>
      <c r="V88" s="66"/>
    </row>
    <row r="89" customFormat="false" ht="15" hidden="false" customHeight="false" outlineLevel="0" collapsed="false">
      <c r="A89" s="10" t="str">
        <f aca="false">IF(B89="","","Q-"&amp;TEXT(ROW()-4,"000"))</f>
        <v/>
      </c>
      <c r="B89" s="53"/>
      <c r="C89" s="52"/>
      <c r="D89" s="52"/>
      <c r="E89" s="52"/>
      <c r="F89" s="52"/>
      <c r="G89" s="53"/>
      <c r="H89" s="52"/>
      <c r="I89" s="55"/>
      <c r="J89" s="55"/>
      <c r="K89" s="56" t="str">
        <f aca="false">IF(OR(F89="",I89=""),"",F89*I89+N(J89))</f>
        <v/>
      </c>
      <c r="L89" s="61" t="str">
        <f aca="false">IF(K89="","",INDEX(Settings!$B$14:$B$18,MATCH(K89,Settings!$A$14:$A$18,1)))</f>
        <v/>
      </c>
      <c r="M89" s="56" t="str">
        <f aca="false">IF(K89="","",CEILING(MAX(K89*(1+L89),K89+Settings!$B$5)/(1-Settings!$B$4),Settings!$B$6))</f>
        <v/>
      </c>
      <c r="N89" s="55"/>
      <c r="O89" s="56" t="str">
        <f aca="false">IF(K89="","",IF(N89="",M89,N89))</f>
        <v/>
      </c>
      <c r="P89" s="56" t="str">
        <f aca="false">IF(O89="","",O89*(1-Settings!$B$4)-K89)</f>
        <v/>
      </c>
      <c r="Q89" s="61" t="str">
        <f aca="false">IF(OR(O89="",O89=0),"",P89/O89)</f>
        <v/>
      </c>
      <c r="R89" s="52"/>
      <c r="S89" s="65" t="str">
        <f aca="false">IF(OR(B89="",R89="Paid",R89="Lost",R89="Shipped"),"",B89+Settings!$B$8)</f>
        <v/>
      </c>
      <c r="T89" s="10" t="str">
        <f aca="true">IF(OR(B89="",R89="Paid",R89="Lost"),"",TODAY()-B89)</f>
        <v/>
      </c>
      <c r="U89" s="53"/>
      <c r="V89" s="66"/>
    </row>
    <row r="90" customFormat="false" ht="15" hidden="false" customHeight="false" outlineLevel="0" collapsed="false">
      <c r="A90" s="10" t="str">
        <f aca="false">IF(B90="","","Q-"&amp;TEXT(ROW()-4,"000"))</f>
        <v/>
      </c>
      <c r="B90" s="53"/>
      <c r="C90" s="52"/>
      <c r="D90" s="52"/>
      <c r="E90" s="52"/>
      <c r="F90" s="52"/>
      <c r="G90" s="53"/>
      <c r="H90" s="52"/>
      <c r="I90" s="55"/>
      <c r="J90" s="55"/>
      <c r="K90" s="56" t="str">
        <f aca="false">IF(OR(F90="",I90=""),"",F90*I90+N(J90))</f>
        <v/>
      </c>
      <c r="L90" s="61" t="str">
        <f aca="false">IF(K90="","",INDEX(Settings!$B$14:$B$18,MATCH(K90,Settings!$A$14:$A$18,1)))</f>
        <v/>
      </c>
      <c r="M90" s="56" t="str">
        <f aca="false">IF(K90="","",CEILING(MAX(K90*(1+L90),K90+Settings!$B$5)/(1-Settings!$B$4),Settings!$B$6))</f>
        <v/>
      </c>
      <c r="N90" s="55"/>
      <c r="O90" s="56" t="str">
        <f aca="false">IF(K90="","",IF(N90="",M90,N90))</f>
        <v/>
      </c>
      <c r="P90" s="56" t="str">
        <f aca="false">IF(O90="","",O90*(1-Settings!$B$4)-K90)</f>
        <v/>
      </c>
      <c r="Q90" s="61" t="str">
        <f aca="false">IF(OR(O90="",O90=0),"",P90/O90)</f>
        <v/>
      </c>
      <c r="R90" s="52"/>
      <c r="S90" s="65" t="str">
        <f aca="false">IF(OR(B90="",R90="Paid",R90="Lost",R90="Shipped"),"",B90+Settings!$B$8)</f>
        <v/>
      </c>
      <c r="T90" s="10" t="str">
        <f aca="true">IF(OR(B90="",R90="Paid",R90="Lost"),"",TODAY()-B90)</f>
        <v/>
      </c>
      <c r="U90" s="53"/>
      <c r="V90" s="66"/>
    </row>
    <row r="91" customFormat="false" ht="15" hidden="false" customHeight="false" outlineLevel="0" collapsed="false">
      <c r="A91" s="10" t="str">
        <f aca="false">IF(B91="","","Q-"&amp;TEXT(ROW()-4,"000"))</f>
        <v/>
      </c>
      <c r="B91" s="53"/>
      <c r="C91" s="52"/>
      <c r="D91" s="52"/>
      <c r="E91" s="52"/>
      <c r="F91" s="52"/>
      <c r="G91" s="53"/>
      <c r="H91" s="52"/>
      <c r="I91" s="55"/>
      <c r="J91" s="55"/>
      <c r="K91" s="56" t="str">
        <f aca="false">IF(OR(F91="",I91=""),"",F91*I91+N(J91))</f>
        <v/>
      </c>
      <c r="L91" s="61" t="str">
        <f aca="false">IF(K91="","",INDEX(Settings!$B$14:$B$18,MATCH(K91,Settings!$A$14:$A$18,1)))</f>
        <v/>
      </c>
      <c r="M91" s="56" t="str">
        <f aca="false">IF(K91="","",CEILING(MAX(K91*(1+L91),K91+Settings!$B$5)/(1-Settings!$B$4),Settings!$B$6))</f>
        <v/>
      </c>
      <c r="N91" s="55"/>
      <c r="O91" s="56" t="str">
        <f aca="false">IF(K91="","",IF(N91="",M91,N91))</f>
        <v/>
      </c>
      <c r="P91" s="56" t="str">
        <f aca="false">IF(O91="","",O91*(1-Settings!$B$4)-K91)</f>
        <v/>
      </c>
      <c r="Q91" s="61" t="str">
        <f aca="false">IF(OR(O91="",O91=0),"",P91/O91)</f>
        <v/>
      </c>
      <c r="R91" s="52"/>
      <c r="S91" s="65" t="str">
        <f aca="false">IF(OR(B91="",R91="Paid",R91="Lost",R91="Shipped"),"",B91+Settings!$B$8)</f>
        <v/>
      </c>
      <c r="T91" s="10" t="str">
        <f aca="true">IF(OR(B91="",R91="Paid",R91="Lost"),"",TODAY()-B91)</f>
        <v/>
      </c>
      <c r="U91" s="53"/>
      <c r="V91" s="66"/>
    </row>
    <row r="92" customFormat="false" ht="15" hidden="false" customHeight="false" outlineLevel="0" collapsed="false">
      <c r="A92" s="10" t="str">
        <f aca="false">IF(B92="","","Q-"&amp;TEXT(ROW()-4,"000"))</f>
        <v/>
      </c>
      <c r="B92" s="53"/>
      <c r="C92" s="52"/>
      <c r="D92" s="52"/>
      <c r="E92" s="52"/>
      <c r="F92" s="52"/>
      <c r="G92" s="53"/>
      <c r="H92" s="52"/>
      <c r="I92" s="55"/>
      <c r="J92" s="55"/>
      <c r="K92" s="56" t="str">
        <f aca="false">IF(OR(F92="",I92=""),"",F92*I92+N(J92))</f>
        <v/>
      </c>
      <c r="L92" s="61" t="str">
        <f aca="false">IF(K92="","",INDEX(Settings!$B$14:$B$18,MATCH(K92,Settings!$A$14:$A$18,1)))</f>
        <v/>
      </c>
      <c r="M92" s="56" t="str">
        <f aca="false">IF(K92="","",CEILING(MAX(K92*(1+L92),K92+Settings!$B$5)/(1-Settings!$B$4),Settings!$B$6))</f>
        <v/>
      </c>
      <c r="N92" s="55"/>
      <c r="O92" s="56" t="str">
        <f aca="false">IF(K92="","",IF(N92="",M92,N92))</f>
        <v/>
      </c>
      <c r="P92" s="56" t="str">
        <f aca="false">IF(O92="","",O92*(1-Settings!$B$4)-K92)</f>
        <v/>
      </c>
      <c r="Q92" s="61" t="str">
        <f aca="false">IF(OR(O92="",O92=0),"",P92/O92)</f>
        <v/>
      </c>
      <c r="R92" s="52"/>
      <c r="S92" s="65" t="str">
        <f aca="false">IF(OR(B92="",R92="Paid",R92="Lost",R92="Shipped"),"",B92+Settings!$B$8)</f>
        <v/>
      </c>
      <c r="T92" s="10" t="str">
        <f aca="true">IF(OR(B92="",R92="Paid",R92="Lost"),"",TODAY()-B92)</f>
        <v/>
      </c>
      <c r="U92" s="53"/>
      <c r="V92" s="66"/>
    </row>
    <row r="93" customFormat="false" ht="15" hidden="false" customHeight="false" outlineLevel="0" collapsed="false">
      <c r="A93" s="10" t="str">
        <f aca="false">IF(B93="","","Q-"&amp;TEXT(ROW()-4,"000"))</f>
        <v/>
      </c>
      <c r="B93" s="53"/>
      <c r="C93" s="52"/>
      <c r="D93" s="52"/>
      <c r="E93" s="52"/>
      <c r="F93" s="52"/>
      <c r="G93" s="53"/>
      <c r="H93" s="52"/>
      <c r="I93" s="55"/>
      <c r="J93" s="55"/>
      <c r="K93" s="56" t="str">
        <f aca="false">IF(OR(F93="",I93=""),"",F93*I93+N(J93))</f>
        <v/>
      </c>
      <c r="L93" s="61" t="str">
        <f aca="false">IF(K93="","",INDEX(Settings!$B$14:$B$18,MATCH(K93,Settings!$A$14:$A$18,1)))</f>
        <v/>
      </c>
      <c r="M93" s="56" t="str">
        <f aca="false">IF(K93="","",CEILING(MAX(K93*(1+L93),K93+Settings!$B$5)/(1-Settings!$B$4),Settings!$B$6))</f>
        <v/>
      </c>
      <c r="N93" s="55"/>
      <c r="O93" s="56" t="str">
        <f aca="false">IF(K93="","",IF(N93="",M93,N93))</f>
        <v/>
      </c>
      <c r="P93" s="56" t="str">
        <f aca="false">IF(O93="","",O93*(1-Settings!$B$4)-K93)</f>
        <v/>
      </c>
      <c r="Q93" s="61" t="str">
        <f aca="false">IF(OR(O93="",O93=0),"",P93/O93)</f>
        <v/>
      </c>
      <c r="R93" s="52"/>
      <c r="S93" s="65" t="str">
        <f aca="false">IF(OR(B93="",R93="Paid",R93="Lost",R93="Shipped"),"",B93+Settings!$B$8)</f>
        <v/>
      </c>
      <c r="T93" s="10" t="str">
        <f aca="true">IF(OR(B93="",R93="Paid",R93="Lost"),"",TODAY()-B93)</f>
        <v/>
      </c>
      <c r="U93" s="53"/>
      <c r="V93" s="66"/>
    </row>
    <row r="94" customFormat="false" ht="15" hidden="false" customHeight="false" outlineLevel="0" collapsed="false">
      <c r="A94" s="10" t="str">
        <f aca="false">IF(B94="","","Q-"&amp;TEXT(ROW()-4,"000"))</f>
        <v/>
      </c>
      <c r="B94" s="53"/>
      <c r="C94" s="52"/>
      <c r="D94" s="52"/>
      <c r="E94" s="52"/>
      <c r="F94" s="52"/>
      <c r="G94" s="53"/>
      <c r="H94" s="52"/>
      <c r="I94" s="55"/>
      <c r="J94" s="55"/>
      <c r="K94" s="56" t="str">
        <f aca="false">IF(OR(F94="",I94=""),"",F94*I94+N(J94))</f>
        <v/>
      </c>
      <c r="L94" s="61" t="str">
        <f aca="false">IF(K94="","",INDEX(Settings!$B$14:$B$18,MATCH(K94,Settings!$A$14:$A$18,1)))</f>
        <v/>
      </c>
      <c r="M94" s="56" t="str">
        <f aca="false">IF(K94="","",CEILING(MAX(K94*(1+L94),K94+Settings!$B$5)/(1-Settings!$B$4),Settings!$B$6))</f>
        <v/>
      </c>
      <c r="N94" s="55"/>
      <c r="O94" s="56" t="str">
        <f aca="false">IF(K94="","",IF(N94="",M94,N94))</f>
        <v/>
      </c>
      <c r="P94" s="56" t="str">
        <f aca="false">IF(O94="","",O94*(1-Settings!$B$4)-K94)</f>
        <v/>
      </c>
      <c r="Q94" s="61" t="str">
        <f aca="false">IF(OR(O94="",O94=0),"",P94/O94)</f>
        <v/>
      </c>
      <c r="R94" s="52"/>
      <c r="S94" s="65" t="str">
        <f aca="false">IF(OR(B94="",R94="Paid",R94="Lost",R94="Shipped"),"",B94+Settings!$B$8)</f>
        <v/>
      </c>
      <c r="T94" s="10" t="str">
        <f aca="true">IF(OR(B94="",R94="Paid",R94="Lost"),"",TODAY()-B94)</f>
        <v/>
      </c>
      <c r="U94" s="53"/>
      <c r="V94" s="66"/>
    </row>
    <row r="95" customFormat="false" ht="15" hidden="false" customHeight="false" outlineLevel="0" collapsed="false">
      <c r="A95" s="10" t="str">
        <f aca="false">IF(B95="","","Q-"&amp;TEXT(ROW()-4,"000"))</f>
        <v/>
      </c>
      <c r="B95" s="53"/>
      <c r="C95" s="52"/>
      <c r="D95" s="52"/>
      <c r="E95" s="52"/>
      <c r="F95" s="52"/>
      <c r="G95" s="53"/>
      <c r="H95" s="52"/>
      <c r="I95" s="55"/>
      <c r="J95" s="55"/>
      <c r="K95" s="56" t="str">
        <f aca="false">IF(OR(F95="",I95=""),"",F95*I95+N(J95))</f>
        <v/>
      </c>
      <c r="L95" s="61" t="str">
        <f aca="false">IF(K95="","",INDEX(Settings!$B$14:$B$18,MATCH(K95,Settings!$A$14:$A$18,1)))</f>
        <v/>
      </c>
      <c r="M95" s="56" t="str">
        <f aca="false">IF(K95="","",CEILING(MAX(K95*(1+L95),K95+Settings!$B$5)/(1-Settings!$B$4),Settings!$B$6))</f>
        <v/>
      </c>
      <c r="N95" s="55"/>
      <c r="O95" s="56" t="str">
        <f aca="false">IF(K95="","",IF(N95="",M95,N95))</f>
        <v/>
      </c>
      <c r="P95" s="56" t="str">
        <f aca="false">IF(O95="","",O95*(1-Settings!$B$4)-K95)</f>
        <v/>
      </c>
      <c r="Q95" s="61" t="str">
        <f aca="false">IF(OR(O95="",O95=0),"",P95/O95)</f>
        <v/>
      </c>
      <c r="R95" s="52"/>
      <c r="S95" s="65" t="str">
        <f aca="false">IF(OR(B95="",R95="Paid",R95="Lost",R95="Shipped"),"",B95+Settings!$B$8)</f>
        <v/>
      </c>
      <c r="T95" s="10" t="str">
        <f aca="true">IF(OR(B95="",R95="Paid",R95="Lost"),"",TODAY()-B95)</f>
        <v/>
      </c>
      <c r="U95" s="53"/>
      <c r="V95" s="66"/>
    </row>
    <row r="96" customFormat="false" ht="15" hidden="false" customHeight="false" outlineLevel="0" collapsed="false">
      <c r="A96" s="10" t="str">
        <f aca="false">IF(B96="","","Q-"&amp;TEXT(ROW()-4,"000"))</f>
        <v/>
      </c>
      <c r="B96" s="53"/>
      <c r="C96" s="52"/>
      <c r="D96" s="52"/>
      <c r="E96" s="52"/>
      <c r="F96" s="52"/>
      <c r="G96" s="53"/>
      <c r="H96" s="52"/>
      <c r="I96" s="55"/>
      <c r="J96" s="55"/>
      <c r="K96" s="56" t="str">
        <f aca="false">IF(OR(F96="",I96=""),"",F96*I96+N(J96))</f>
        <v/>
      </c>
      <c r="L96" s="61" t="str">
        <f aca="false">IF(K96="","",INDEX(Settings!$B$14:$B$18,MATCH(K96,Settings!$A$14:$A$18,1)))</f>
        <v/>
      </c>
      <c r="M96" s="56" t="str">
        <f aca="false">IF(K96="","",CEILING(MAX(K96*(1+L96),K96+Settings!$B$5)/(1-Settings!$B$4),Settings!$B$6))</f>
        <v/>
      </c>
      <c r="N96" s="55"/>
      <c r="O96" s="56" t="str">
        <f aca="false">IF(K96="","",IF(N96="",M96,N96))</f>
        <v/>
      </c>
      <c r="P96" s="56" t="str">
        <f aca="false">IF(O96="","",O96*(1-Settings!$B$4)-K96)</f>
        <v/>
      </c>
      <c r="Q96" s="61" t="str">
        <f aca="false">IF(OR(O96="",O96=0),"",P96/O96)</f>
        <v/>
      </c>
      <c r="R96" s="52"/>
      <c r="S96" s="65" t="str">
        <f aca="false">IF(OR(B96="",R96="Paid",R96="Lost",R96="Shipped"),"",B96+Settings!$B$8)</f>
        <v/>
      </c>
      <c r="T96" s="10" t="str">
        <f aca="true">IF(OR(B96="",R96="Paid",R96="Lost"),"",TODAY()-B96)</f>
        <v/>
      </c>
      <c r="U96" s="53"/>
      <c r="V96" s="66"/>
    </row>
    <row r="97" customFormat="false" ht="15" hidden="false" customHeight="false" outlineLevel="0" collapsed="false">
      <c r="A97" s="10" t="str">
        <f aca="false">IF(B97="","","Q-"&amp;TEXT(ROW()-4,"000"))</f>
        <v/>
      </c>
      <c r="B97" s="53"/>
      <c r="C97" s="52"/>
      <c r="D97" s="52"/>
      <c r="E97" s="52"/>
      <c r="F97" s="52"/>
      <c r="G97" s="53"/>
      <c r="H97" s="52"/>
      <c r="I97" s="55"/>
      <c r="J97" s="55"/>
      <c r="K97" s="56" t="str">
        <f aca="false">IF(OR(F97="",I97=""),"",F97*I97+N(J97))</f>
        <v/>
      </c>
      <c r="L97" s="61" t="str">
        <f aca="false">IF(K97="","",INDEX(Settings!$B$14:$B$18,MATCH(K97,Settings!$A$14:$A$18,1)))</f>
        <v/>
      </c>
      <c r="M97" s="56" t="str">
        <f aca="false">IF(K97="","",CEILING(MAX(K97*(1+L97),K97+Settings!$B$5)/(1-Settings!$B$4),Settings!$B$6))</f>
        <v/>
      </c>
      <c r="N97" s="55"/>
      <c r="O97" s="56" t="str">
        <f aca="false">IF(K97="","",IF(N97="",M97,N97))</f>
        <v/>
      </c>
      <c r="P97" s="56" t="str">
        <f aca="false">IF(O97="","",O97*(1-Settings!$B$4)-K97)</f>
        <v/>
      </c>
      <c r="Q97" s="61" t="str">
        <f aca="false">IF(OR(O97="",O97=0),"",P97/O97)</f>
        <v/>
      </c>
      <c r="R97" s="52"/>
      <c r="S97" s="65" t="str">
        <f aca="false">IF(OR(B97="",R97="Paid",R97="Lost",R97="Shipped"),"",B97+Settings!$B$8)</f>
        <v/>
      </c>
      <c r="T97" s="10" t="str">
        <f aca="true">IF(OR(B97="",R97="Paid",R97="Lost"),"",TODAY()-B97)</f>
        <v/>
      </c>
      <c r="U97" s="53"/>
      <c r="V97" s="66"/>
    </row>
    <row r="98" customFormat="false" ht="15" hidden="false" customHeight="false" outlineLevel="0" collapsed="false">
      <c r="A98" s="10" t="str">
        <f aca="false">IF(B98="","","Q-"&amp;TEXT(ROW()-4,"000"))</f>
        <v/>
      </c>
      <c r="B98" s="53"/>
      <c r="C98" s="52"/>
      <c r="D98" s="52"/>
      <c r="E98" s="52"/>
      <c r="F98" s="52"/>
      <c r="G98" s="53"/>
      <c r="H98" s="52"/>
      <c r="I98" s="55"/>
      <c r="J98" s="55"/>
      <c r="K98" s="56" t="str">
        <f aca="false">IF(OR(F98="",I98=""),"",F98*I98+N(J98))</f>
        <v/>
      </c>
      <c r="L98" s="61" t="str">
        <f aca="false">IF(K98="","",INDEX(Settings!$B$14:$B$18,MATCH(K98,Settings!$A$14:$A$18,1)))</f>
        <v/>
      </c>
      <c r="M98" s="56" t="str">
        <f aca="false">IF(K98="","",CEILING(MAX(K98*(1+L98),K98+Settings!$B$5)/(1-Settings!$B$4),Settings!$B$6))</f>
        <v/>
      </c>
      <c r="N98" s="55"/>
      <c r="O98" s="56" t="str">
        <f aca="false">IF(K98="","",IF(N98="",M98,N98))</f>
        <v/>
      </c>
      <c r="P98" s="56" t="str">
        <f aca="false">IF(O98="","",O98*(1-Settings!$B$4)-K98)</f>
        <v/>
      </c>
      <c r="Q98" s="61" t="str">
        <f aca="false">IF(OR(O98="",O98=0),"",P98/O98)</f>
        <v/>
      </c>
      <c r="R98" s="52"/>
      <c r="S98" s="65" t="str">
        <f aca="false">IF(OR(B98="",R98="Paid",R98="Lost",R98="Shipped"),"",B98+Settings!$B$8)</f>
        <v/>
      </c>
      <c r="T98" s="10" t="str">
        <f aca="true">IF(OR(B98="",R98="Paid",R98="Lost"),"",TODAY()-B98)</f>
        <v/>
      </c>
      <c r="U98" s="53"/>
      <c r="V98" s="66"/>
    </row>
    <row r="99" customFormat="false" ht="15" hidden="false" customHeight="false" outlineLevel="0" collapsed="false">
      <c r="A99" s="10" t="str">
        <f aca="false">IF(B99="","","Q-"&amp;TEXT(ROW()-4,"000"))</f>
        <v/>
      </c>
      <c r="B99" s="53"/>
      <c r="C99" s="52"/>
      <c r="D99" s="52"/>
      <c r="E99" s="52"/>
      <c r="F99" s="52"/>
      <c r="G99" s="53"/>
      <c r="H99" s="52"/>
      <c r="I99" s="55"/>
      <c r="J99" s="55"/>
      <c r="K99" s="56" t="str">
        <f aca="false">IF(OR(F99="",I99=""),"",F99*I99+N(J99))</f>
        <v/>
      </c>
      <c r="L99" s="61" t="str">
        <f aca="false">IF(K99="","",INDEX(Settings!$B$14:$B$18,MATCH(K99,Settings!$A$14:$A$18,1)))</f>
        <v/>
      </c>
      <c r="M99" s="56" t="str">
        <f aca="false">IF(K99="","",CEILING(MAX(K99*(1+L99),K99+Settings!$B$5)/(1-Settings!$B$4),Settings!$B$6))</f>
        <v/>
      </c>
      <c r="N99" s="55"/>
      <c r="O99" s="56" t="str">
        <f aca="false">IF(K99="","",IF(N99="",M99,N99))</f>
        <v/>
      </c>
      <c r="P99" s="56" t="str">
        <f aca="false">IF(O99="","",O99*(1-Settings!$B$4)-K99)</f>
        <v/>
      </c>
      <c r="Q99" s="61" t="str">
        <f aca="false">IF(OR(O99="",O99=0),"",P99/O99)</f>
        <v/>
      </c>
      <c r="R99" s="52"/>
      <c r="S99" s="65" t="str">
        <f aca="false">IF(OR(B99="",R99="Paid",R99="Lost",R99="Shipped"),"",B99+Settings!$B$8)</f>
        <v/>
      </c>
      <c r="T99" s="10" t="str">
        <f aca="true">IF(OR(B99="",R99="Paid",R99="Lost"),"",TODAY()-B99)</f>
        <v/>
      </c>
      <c r="U99" s="53"/>
      <c r="V99" s="66"/>
    </row>
    <row r="100" customFormat="false" ht="15" hidden="false" customHeight="false" outlineLevel="0" collapsed="false">
      <c r="A100" s="10" t="str">
        <f aca="false">IF(B100="","","Q-"&amp;TEXT(ROW()-4,"000"))</f>
        <v/>
      </c>
      <c r="B100" s="53"/>
      <c r="C100" s="52"/>
      <c r="D100" s="52"/>
      <c r="E100" s="52"/>
      <c r="F100" s="52"/>
      <c r="G100" s="53"/>
      <c r="H100" s="52"/>
      <c r="I100" s="55"/>
      <c r="J100" s="55"/>
      <c r="K100" s="56" t="str">
        <f aca="false">IF(OR(F100="",I100=""),"",F100*I100+N(J100))</f>
        <v/>
      </c>
      <c r="L100" s="61" t="str">
        <f aca="false">IF(K100="","",INDEX(Settings!$B$14:$B$18,MATCH(K100,Settings!$A$14:$A$18,1)))</f>
        <v/>
      </c>
      <c r="M100" s="56" t="str">
        <f aca="false">IF(K100="","",CEILING(MAX(K100*(1+L100),K100+Settings!$B$5)/(1-Settings!$B$4),Settings!$B$6))</f>
        <v/>
      </c>
      <c r="N100" s="55"/>
      <c r="O100" s="56" t="str">
        <f aca="false">IF(K100="","",IF(N100="",M100,N100))</f>
        <v/>
      </c>
      <c r="P100" s="56" t="str">
        <f aca="false">IF(O100="","",O100*(1-Settings!$B$4)-K100)</f>
        <v/>
      </c>
      <c r="Q100" s="61" t="str">
        <f aca="false">IF(OR(O100="",O100=0),"",P100/O100)</f>
        <v/>
      </c>
      <c r="R100" s="52"/>
      <c r="S100" s="65" t="str">
        <f aca="false">IF(OR(B100="",R100="Paid",R100="Lost",R100="Shipped"),"",B100+Settings!$B$8)</f>
        <v/>
      </c>
      <c r="T100" s="10" t="str">
        <f aca="true">IF(OR(B100="",R100="Paid",R100="Lost"),"",TODAY()-B100)</f>
        <v/>
      </c>
      <c r="U100" s="53"/>
      <c r="V100" s="66"/>
    </row>
    <row r="101" customFormat="false" ht="15" hidden="false" customHeight="false" outlineLevel="0" collapsed="false">
      <c r="A101" s="10" t="str">
        <f aca="false">IF(B101="","","Q-"&amp;TEXT(ROW()-4,"000"))</f>
        <v/>
      </c>
      <c r="B101" s="53"/>
      <c r="C101" s="52"/>
      <c r="D101" s="52"/>
      <c r="E101" s="52"/>
      <c r="F101" s="52"/>
      <c r="G101" s="53"/>
      <c r="H101" s="52"/>
      <c r="I101" s="55"/>
      <c r="J101" s="55"/>
      <c r="K101" s="56" t="str">
        <f aca="false">IF(OR(F101="",I101=""),"",F101*I101+N(J101))</f>
        <v/>
      </c>
      <c r="L101" s="61" t="str">
        <f aca="false">IF(K101="","",INDEX(Settings!$B$14:$B$18,MATCH(K101,Settings!$A$14:$A$18,1)))</f>
        <v/>
      </c>
      <c r="M101" s="56" t="str">
        <f aca="false">IF(K101="","",CEILING(MAX(K101*(1+L101),K101+Settings!$B$5)/(1-Settings!$B$4),Settings!$B$6))</f>
        <v/>
      </c>
      <c r="N101" s="55"/>
      <c r="O101" s="56" t="str">
        <f aca="false">IF(K101="","",IF(N101="",M101,N101))</f>
        <v/>
      </c>
      <c r="P101" s="56" t="str">
        <f aca="false">IF(O101="","",O101*(1-Settings!$B$4)-K101)</f>
        <v/>
      </c>
      <c r="Q101" s="61" t="str">
        <f aca="false">IF(OR(O101="",O101=0),"",P101/O101)</f>
        <v/>
      </c>
      <c r="R101" s="52"/>
      <c r="S101" s="65" t="str">
        <f aca="false">IF(OR(B101="",R101="Paid",R101="Lost",R101="Shipped"),"",B101+Settings!$B$8)</f>
        <v/>
      </c>
      <c r="T101" s="10" t="str">
        <f aca="true">IF(OR(B101="",R101="Paid",R101="Lost"),"",TODAY()-B101)</f>
        <v/>
      </c>
      <c r="U101" s="53"/>
      <c r="V101" s="66"/>
    </row>
    <row r="102" customFormat="false" ht="15" hidden="false" customHeight="false" outlineLevel="0" collapsed="false">
      <c r="A102" s="10" t="str">
        <f aca="false">IF(B102="","","Q-"&amp;TEXT(ROW()-4,"000"))</f>
        <v/>
      </c>
      <c r="B102" s="53"/>
      <c r="C102" s="52"/>
      <c r="D102" s="52"/>
      <c r="E102" s="52"/>
      <c r="F102" s="52"/>
      <c r="G102" s="53"/>
      <c r="H102" s="52"/>
      <c r="I102" s="55"/>
      <c r="J102" s="55"/>
      <c r="K102" s="56" t="str">
        <f aca="false">IF(OR(F102="",I102=""),"",F102*I102+N(J102))</f>
        <v/>
      </c>
      <c r="L102" s="61" t="str">
        <f aca="false">IF(K102="","",INDEX(Settings!$B$14:$B$18,MATCH(K102,Settings!$A$14:$A$18,1)))</f>
        <v/>
      </c>
      <c r="M102" s="56" t="str">
        <f aca="false">IF(K102="","",CEILING(MAX(K102*(1+L102),K102+Settings!$B$5)/(1-Settings!$B$4),Settings!$B$6))</f>
        <v/>
      </c>
      <c r="N102" s="55"/>
      <c r="O102" s="56" t="str">
        <f aca="false">IF(K102="","",IF(N102="",M102,N102))</f>
        <v/>
      </c>
      <c r="P102" s="56" t="str">
        <f aca="false">IF(O102="","",O102*(1-Settings!$B$4)-K102)</f>
        <v/>
      </c>
      <c r="Q102" s="61" t="str">
        <f aca="false">IF(OR(O102="",O102=0),"",P102/O102)</f>
        <v/>
      </c>
      <c r="R102" s="52"/>
      <c r="S102" s="65" t="str">
        <f aca="false">IF(OR(B102="",R102="Paid",R102="Lost",R102="Shipped"),"",B102+Settings!$B$8)</f>
        <v/>
      </c>
      <c r="T102" s="10" t="str">
        <f aca="true">IF(OR(B102="",R102="Paid",R102="Lost"),"",TODAY()-B102)</f>
        <v/>
      </c>
      <c r="U102" s="53"/>
      <c r="V102" s="66"/>
    </row>
    <row r="103" customFormat="false" ht="15" hidden="false" customHeight="false" outlineLevel="0" collapsed="false">
      <c r="A103" s="10" t="str">
        <f aca="false">IF(B103="","","Q-"&amp;TEXT(ROW()-4,"000"))</f>
        <v/>
      </c>
      <c r="B103" s="53"/>
      <c r="C103" s="52"/>
      <c r="D103" s="52"/>
      <c r="E103" s="52"/>
      <c r="F103" s="52"/>
      <c r="G103" s="53"/>
      <c r="H103" s="52"/>
      <c r="I103" s="55"/>
      <c r="J103" s="55"/>
      <c r="K103" s="56" t="str">
        <f aca="false">IF(OR(F103="",I103=""),"",F103*I103+N(J103))</f>
        <v/>
      </c>
      <c r="L103" s="61" t="str">
        <f aca="false">IF(K103="","",INDEX(Settings!$B$14:$B$18,MATCH(K103,Settings!$A$14:$A$18,1)))</f>
        <v/>
      </c>
      <c r="M103" s="56" t="str">
        <f aca="false">IF(K103="","",CEILING(MAX(K103*(1+L103),K103+Settings!$B$5)/(1-Settings!$B$4),Settings!$B$6))</f>
        <v/>
      </c>
      <c r="N103" s="55"/>
      <c r="O103" s="56" t="str">
        <f aca="false">IF(K103="","",IF(N103="",M103,N103))</f>
        <v/>
      </c>
      <c r="P103" s="56" t="str">
        <f aca="false">IF(O103="","",O103*(1-Settings!$B$4)-K103)</f>
        <v/>
      </c>
      <c r="Q103" s="61" t="str">
        <f aca="false">IF(OR(O103="",O103=0),"",P103/O103)</f>
        <v/>
      </c>
      <c r="R103" s="52"/>
      <c r="S103" s="65" t="str">
        <f aca="false">IF(OR(B103="",R103="Paid",R103="Lost",R103="Shipped"),"",B103+Settings!$B$8)</f>
        <v/>
      </c>
      <c r="T103" s="10" t="str">
        <f aca="true">IF(OR(B103="",R103="Paid",R103="Lost"),"",TODAY()-B103)</f>
        <v/>
      </c>
      <c r="U103" s="53"/>
      <c r="V103" s="66"/>
    </row>
    <row r="104" customFormat="false" ht="15" hidden="false" customHeight="false" outlineLevel="0" collapsed="false">
      <c r="A104" s="10" t="str">
        <f aca="false">IF(B104="","","Q-"&amp;TEXT(ROW()-4,"000"))</f>
        <v/>
      </c>
      <c r="B104" s="53"/>
      <c r="C104" s="52"/>
      <c r="D104" s="52"/>
      <c r="E104" s="52"/>
      <c r="F104" s="52"/>
      <c r="G104" s="53"/>
      <c r="H104" s="52"/>
      <c r="I104" s="55"/>
      <c r="J104" s="55"/>
      <c r="K104" s="56" t="str">
        <f aca="false">IF(OR(F104="",I104=""),"",F104*I104+N(J104))</f>
        <v/>
      </c>
      <c r="L104" s="61" t="str">
        <f aca="false">IF(K104="","",INDEX(Settings!$B$14:$B$18,MATCH(K104,Settings!$A$14:$A$18,1)))</f>
        <v/>
      </c>
      <c r="M104" s="56" t="str">
        <f aca="false">IF(K104="","",CEILING(MAX(K104*(1+L104),K104+Settings!$B$5)/(1-Settings!$B$4),Settings!$B$6))</f>
        <v/>
      </c>
      <c r="N104" s="55"/>
      <c r="O104" s="56" t="str">
        <f aca="false">IF(K104="","",IF(N104="",M104,N104))</f>
        <v/>
      </c>
      <c r="P104" s="56" t="str">
        <f aca="false">IF(O104="","",O104*(1-Settings!$B$4)-K104)</f>
        <v/>
      </c>
      <c r="Q104" s="61" t="str">
        <f aca="false">IF(OR(O104="",O104=0),"",P104/O104)</f>
        <v/>
      </c>
      <c r="R104" s="52"/>
      <c r="S104" s="65" t="str">
        <f aca="false">IF(OR(B104="",R104="Paid",R104="Lost",R104="Shipped"),"",B104+Settings!$B$8)</f>
        <v/>
      </c>
      <c r="T104" s="10" t="str">
        <f aca="true">IF(OR(B104="",R104="Paid",R104="Lost"),"",TODAY()-B104)</f>
        <v/>
      </c>
      <c r="U104" s="53"/>
      <c r="V104" s="66"/>
    </row>
    <row r="105" customFormat="false" ht="15" hidden="false" customHeight="false" outlineLevel="0" collapsed="false">
      <c r="A105" s="10" t="str">
        <f aca="false">IF(B105="","","Q-"&amp;TEXT(ROW()-4,"000"))</f>
        <v/>
      </c>
      <c r="B105" s="53"/>
      <c r="C105" s="52"/>
      <c r="D105" s="52"/>
      <c r="E105" s="52"/>
      <c r="F105" s="52"/>
      <c r="G105" s="53"/>
      <c r="H105" s="52"/>
      <c r="I105" s="55"/>
      <c r="J105" s="55"/>
      <c r="K105" s="56" t="str">
        <f aca="false">IF(OR(F105="",I105=""),"",F105*I105+N(J105))</f>
        <v/>
      </c>
      <c r="L105" s="61" t="str">
        <f aca="false">IF(K105="","",INDEX(Settings!$B$14:$B$18,MATCH(K105,Settings!$A$14:$A$18,1)))</f>
        <v/>
      </c>
      <c r="M105" s="56" t="str">
        <f aca="false">IF(K105="","",CEILING(MAX(K105*(1+L105),K105+Settings!$B$5)/(1-Settings!$B$4),Settings!$B$6))</f>
        <v/>
      </c>
      <c r="N105" s="55"/>
      <c r="O105" s="56" t="str">
        <f aca="false">IF(K105="","",IF(N105="",M105,N105))</f>
        <v/>
      </c>
      <c r="P105" s="56" t="str">
        <f aca="false">IF(O105="","",O105*(1-Settings!$B$4)-K105)</f>
        <v/>
      </c>
      <c r="Q105" s="61" t="str">
        <f aca="false">IF(OR(O105="",O105=0),"",P105/O105)</f>
        <v/>
      </c>
      <c r="R105" s="52"/>
      <c r="S105" s="65" t="str">
        <f aca="false">IF(OR(B105="",R105="Paid",R105="Lost",R105="Shipped"),"",B105+Settings!$B$8)</f>
        <v/>
      </c>
      <c r="T105" s="10" t="str">
        <f aca="true">IF(OR(B105="",R105="Paid",R105="Lost"),"",TODAY()-B105)</f>
        <v/>
      </c>
      <c r="U105" s="53"/>
      <c r="V105" s="66"/>
    </row>
    <row r="106" customFormat="false" ht="15" hidden="false" customHeight="false" outlineLevel="0" collapsed="false">
      <c r="A106" s="10" t="str">
        <f aca="false">IF(B106="","","Q-"&amp;TEXT(ROW()-4,"000"))</f>
        <v/>
      </c>
      <c r="B106" s="53"/>
      <c r="C106" s="52"/>
      <c r="D106" s="52"/>
      <c r="E106" s="52"/>
      <c r="F106" s="52"/>
      <c r="G106" s="53"/>
      <c r="H106" s="52"/>
      <c r="I106" s="55"/>
      <c r="J106" s="55"/>
      <c r="K106" s="56" t="str">
        <f aca="false">IF(OR(F106="",I106=""),"",F106*I106+N(J106))</f>
        <v/>
      </c>
      <c r="L106" s="61" t="str">
        <f aca="false">IF(K106="","",INDEX(Settings!$B$14:$B$18,MATCH(K106,Settings!$A$14:$A$18,1)))</f>
        <v/>
      </c>
      <c r="M106" s="56" t="str">
        <f aca="false">IF(K106="","",CEILING(MAX(K106*(1+L106),K106+Settings!$B$5)/(1-Settings!$B$4),Settings!$B$6))</f>
        <v/>
      </c>
      <c r="N106" s="55"/>
      <c r="O106" s="56" t="str">
        <f aca="false">IF(K106="","",IF(N106="",M106,N106))</f>
        <v/>
      </c>
      <c r="P106" s="56" t="str">
        <f aca="false">IF(O106="","",O106*(1-Settings!$B$4)-K106)</f>
        <v/>
      </c>
      <c r="Q106" s="61" t="str">
        <f aca="false">IF(OR(O106="",O106=0),"",P106/O106)</f>
        <v/>
      </c>
      <c r="R106" s="52"/>
      <c r="S106" s="65" t="str">
        <f aca="false">IF(OR(B106="",R106="Paid",R106="Lost",R106="Shipped"),"",B106+Settings!$B$8)</f>
        <v/>
      </c>
      <c r="T106" s="10" t="str">
        <f aca="true">IF(OR(B106="",R106="Paid",R106="Lost"),"",TODAY()-B106)</f>
        <v/>
      </c>
      <c r="U106" s="53"/>
      <c r="V106" s="66"/>
    </row>
    <row r="107" customFormat="false" ht="15" hidden="false" customHeight="false" outlineLevel="0" collapsed="false">
      <c r="A107" s="10" t="str">
        <f aca="false">IF(B107="","","Q-"&amp;TEXT(ROW()-4,"000"))</f>
        <v/>
      </c>
      <c r="B107" s="53"/>
      <c r="C107" s="52"/>
      <c r="D107" s="52"/>
      <c r="E107" s="52"/>
      <c r="F107" s="52"/>
      <c r="G107" s="53"/>
      <c r="H107" s="52"/>
      <c r="I107" s="55"/>
      <c r="J107" s="55"/>
      <c r="K107" s="56" t="str">
        <f aca="false">IF(OR(F107="",I107=""),"",F107*I107+N(J107))</f>
        <v/>
      </c>
      <c r="L107" s="61" t="str">
        <f aca="false">IF(K107="","",INDEX(Settings!$B$14:$B$18,MATCH(K107,Settings!$A$14:$A$18,1)))</f>
        <v/>
      </c>
      <c r="M107" s="56" t="str">
        <f aca="false">IF(K107="","",CEILING(MAX(K107*(1+L107),K107+Settings!$B$5)/(1-Settings!$B$4),Settings!$B$6))</f>
        <v/>
      </c>
      <c r="N107" s="55"/>
      <c r="O107" s="56" t="str">
        <f aca="false">IF(K107="","",IF(N107="",M107,N107))</f>
        <v/>
      </c>
      <c r="P107" s="56" t="str">
        <f aca="false">IF(O107="","",O107*(1-Settings!$B$4)-K107)</f>
        <v/>
      </c>
      <c r="Q107" s="61" t="str">
        <f aca="false">IF(OR(O107="",O107=0),"",P107/O107)</f>
        <v/>
      </c>
      <c r="R107" s="52"/>
      <c r="S107" s="65" t="str">
        <f aca="false">IF(OR(B107="",R107="Paid",R107="Lost",R107="Shipped"),"",B107+Settings!$B$8)</f>
        <v/>
      </c>
      <c r="T107" s="10" t="str">
        <f aca="true">IF(OR(B107="",R107="Paid",R107="Lost"),"",TODAY()-B107)</f>
        <v/>
      </c>
      <c r="U107" s="53"/>
      <c r="V107" s="66"/>
    </row>
    <row r="108" customFormat="false" ht="15" hidden="false" customHeight="false" outlineLevel="0" collapsed="false">
      <c r="A108" s="10" t="str">
        <f aca="false">IF(B108="","","Q-"&amp;TEXT(ROW()-4,"000"))</f>
        <v/>
      </c>
      <c r="B108" s="53"/>
      <c r="C108" s="52"/>
      <c r="D108" s="52"/>
      <c r="E108" s="52"/>
      <c r="F108" s="52"/>
      <c r="G108" s="53"/>
      <c r="H108" s="52"/>
      <c r="I108" s="55"/>
      <c r="J108" s="55"/>
      <c r="K108" s="56" t="str">
        <f aca="false">IF(OR(F108="",I108=""),"",F108*I108+N(J108))</f>
        <v/>
      </c>
      <c r="L108" s="61" t="str">
        <f aca="false">IF(K108="","",INDEX(Settings!$B$14:$B$18,MATCH(K108,Settings!$A$14:$A$18,1)))</f>
        <v/>
      </c>
      <c r="M108" s="56" t="str">
        <f aca="false">IF(K108="","",CEILING(MAX(K108*(1+L108),K108+Settings!$B$5)/(1-Settings!$B$4),Settings!$B$6))</f>
        <v/>
      </c>
      <c r="N108" s="55"/>
      <c r="O108" s="56" t="str">
        <f aca="false">IF(K108="","",IF(N108="",M108,N108))</f>
        <v/>
      </c>
      <c r="P108" s="56" t="str">
        <f aca="false">IF(O108="","",O108*(1-Settings!$B$4)-K108)</f>
        <v/>
      </c>
      <c r="Q108" s="61" t="str">
        <f aca="false">IF(OR(O108="",O108=0),"",P108/O108)</f>
        <v/>
      </c>
      <c r="R108" s="52"/>
      <c r="S108" s="65" t="str">
        <f aca="false">IF(OR(B108="",R108="Paid",R108="Lost",R108="Shipped"),"",B108+Settings!$B$8)</f>
        <v/>
      </c>
      <c r="T108" s="10" t="str">
        <f aca="true">IF(OR(B108="",R108="Paid",R108="Lost"),"",TODAY()-B108)</f>
        <v/>
      </c>
      <c r="U108" s="53"/>
      <c r="V108" s="66"/>
    </row>
    <row r="109" customFormat="false" ht="15" hidden="false" customHeight="false" outlineLevel="0" collapsed="false">
      <c r="A109" s="10" t="str">
        <f aca="false">IF(B109="","","Q-"&amp;TEXT(ROW()-4,"000"))</f>
        <v/>
      </c>
      <c r="B109" s="53"/>
      <c r="C109" s="52"/>
      <c r="D109" s="52"/>
      <c r="E109" s="52"/>
      <c r="F109" s="52"/>
      <c r="G109" s="53"/>
      <c r="H109" s="52"/>
      <c r="I109" s="55"/>
      <c r="J109" s="55"/>
      <c r="K109" s="56" t="str">
        <f aca="false">IF(OR(F109="",I109=""),"",F109*I109+N(J109))</f>
        <v/>
      </c>
      <c r="L109" s="61" t="str">
        <f aca="false">IF(K109="","",INDEX(Settings!$B$14:$B$18,MATCH(K109,Settings!$A$14:$A$18,1)))</f>
        <v/>
      </c>
      <c r="M109" s="56" t="str">
        <f aca="false">IF(K109="","",CEILING(MAX(K109*(1+L109),K109+Settings!$B$5)/(1-Settings!$B$4),Settings!$B$6))</f>
        <v/>
      </c>
      <c r="N109" s="55"/>
      <c r="O109" s="56" t="str">
        <f aca="false">IF(K109="","",IF(N109="",M109,N109))</f>
        <v/>
      </c>
      <c r="P109" s="56" t="str">
        <f aca="false">IF(O109="","",O109*(1-Settings!$B$4)-K109)</f>
        <v/>
      </c>
      <c r="Q109" s="61" t="str">
        <f aca="false">IF(OR(O109="",O109=0),"",P109/O109)</f>
        <v/>
      </c>
      <c r="R109" s="52"/>
      <c r="S109" s="65" t="str">
        <f aca="false">IF(OR(B109="",R109="Paid",R109="Lost",R109="Shipped"),"",B109+Settings!$B$8)</f>
        <v/>
      </c>
      <c r="T109" s="10" t="str">
        <f aca="true">IF(OR(B109="",R109="Paid",R109="Lost"),"",TODAY()-B109)</f>
        <v/>
      </c>
      <c r="U109" s="53"/>
      <c r="V109" s="66"/>
    </row>
    <row r="110" customFormat="false" ht="15" hidden="false" customHeight="false" outlineLevel="0" collapsed="false">
      <c r="A110" s="10" t="str">
        <f aca="false">IF(B110="","","Q-"&amp;TEXT(ROW()-4,"000"))</f>
        <v/>
      </c>
      <c r="B110" s="53"/>
      <c r="C110" s="52"/>
      <c r="D110" s="52"/>
      <c r="E110" s="52"/>
      <c r="F110" s="52"/>
      <c r="G110" s="53"/>
      <c r="H110" s="52"/>
      <c r="I110" s="55"/>
      <c r="J110" s="55"/>
      <c r="K110" s="56" t="str">
        <f aca="false">IF(OR(F110="",I110=""),"",F110*I110+N(J110))</f>
        <v/>
      </c>
      <c r="L110" s="61" t="str">
        <f aca="false">IF(K110="","",INDEX(Settings!$B$14:$B$18,MATCH(K110,Settings!$A$14:$A$18,1)))</f>
        <v/>
      </c>
      <c r="M110" s="56" t="str">
        <f aca="false">IF(K110="","",CEILING(MAX(K110*(1+L110),K110+Settings!$B$5)/(1-Settings!$B$4),Settings!$B$6))</f>
        <v/>
      </c>
      <c r="N110" s="55"/>
      <c r="O110" s="56" t="str">
        <f aca="false">IF(K110="","",IF(N110="",M110,N110))</f>
        <v/>
      </c>
      <c r="P110" s="56" t="str">
        <f aca="false">IF(O110="","",O110*(1-Settings!$B$4)-K110)</f>
        <v/>
      </c>
      <c r="Q110" s="61" t="str">
        <f aca="false">IF(OR(O110="",O110=0),"",P110/O110)</f>
        <v/>
      </c>
      <c r="R110" s="52"/>
      <c r="S110" s="65" t="str">
        <f aca="false">IF(OR(B110="",R110="Paid",R110="Lost",R110="Shipped"),"",B110+Settings!$B$8)</f>
        <v/>
      </c>
      <c r="T110" s="10" t="str">
        <f aca="true">IF(OR(B110="",R110="Paid",R110="Lost"),"",TODAY()-B110)</f>
        <v/>
      </c>
      <c r="U110" s="53"/>
      <c r="V110" s="66"/>
    </row>
    <row r="111" customFormat="false" ht="15" hidden="false" customHeight="false" outlineLevel="0" collapsed="false">
      <c r="A111" s="10" t="str">
        <f aca="false">IF(B111="","","Q-"&amp;TEXT(ROW()-4,"000"))</f>
        <v/>
      </c>
      <c r="B111" s="53"/>
      <c r="C111" s="52"/>
      <c r="D111" s="52"/>
      <c r="E111" s="52"/>
      <c r="F111" s="52"/>
      <c r="G111" s="53"/>
      <c r="H111" s="52"/>
      <c r="I111" s="55"/>
      <c r="J111" s="55"/>
      <c r="K111" s="56" t="str">
        <f aca="false">IF(OR(F111="",I111=""),"",F111*I111+N(J111))</f>
        <v/>
      </c>
      <c r="L111" s="61" t="str">
        <f aca="false">IF(K111="","",INDEX(Settings!$B$14:$B$18,MATCH(K111,Settings!$A$14:$A$18,1)))</f>
        <v/>
      </c>
      <c r="M111" s="56" t="str">
        <f aca="false">IF(K111="","",CEILING(MAX(K111*(1+L111),K111+Settings!$B$5)/(1-Settings!$B$4),Settings!$B$6))</f>
        <v/>
      </c>
      <c r="N111" s="55"/>
      <c r="O111" s="56" t="str">
        <f aca="false">IF(K111="","",IF(N111="",M111,N111))</f>
        <v/>
      </c>
      <c r="P111" s="56" t="str">
        <f aca="false">IF(O111="","",O111*(1-Settings!$B$4)-K111)</f>
        <v/>
      </c>
      <c r="Q111" s="61" t="str">
        <f aca="false">IF(OR(O111="",O111=0),"",P111/O111)</f>
        <v/>
      </c>
      <c r="R111" s="52"/>
      <c r="S111" s="65" t="str">
        <f aca="false">IF(OR(B111="",R111="Paid",R111="Lost",R111="Shipped"),"",B111+Settings!$B$8)</f>
        <v/>
      </c>
      <c r="T111" s="10" t="str">
        <f aca="true">IF(OR(B111="",R111="Paid",R111="Lost"),"",TODAY()-B111)</f>
        <v/>
      </c>
      <c r="U111" s="53"/>
      <c r="V111" s="66"/>
    </row>
    <row r="112" customFormat="false" ht="15" hidden="false" customHeight="false" outlineLevel="0" collapsed="false">
      <c r="A112" s="10" t="str">
        <f aca="false">IF(B112="","","Q-"&amp;TEXT(ROW()-4,"000"))</f>
        <v/>
      </c>
      <c r="B112" s="53"/>
      <c r="C112" s="52"/>
      <c r="D112" s="52"/>
      <c r="E112" s="52"/>
      <c r="F112" s="52"/>
      <c r="G112" s="53"/>
      <c r="H112" s="52"/>
      <c r="I112" s="55"/>
      <c r="J112" s="55"/>
      <c r="K112" s="56" t="str">
        <f aca="false">IF(OR(F112="",I112=""),"",F112*I112+N(J112))</f>
        <v/>
      </c>
      <c r="L112" s="61" t="str">
        <f aca="false">IF(K112="","",INDEX(Settings!$B$14:$B$18,MATCH(K112,Settings!$A$14:$A$18,1)))</f>
        <v/>
      </c>
      <c r="M112" s="56" t="str">
        <f aca="false">IF(K112="","",CEILING(MAX(K112*(1+L112),K112+Settings!$B$5)/(1-Settings!$B$4),Settings!$B$6))</f>
        <v/>
      </c>
      <c r="N112" s="55"/>
      <c r="O112" s="56" t="str">
        <f aca="false">IF(K112="","",IF(N112="",M112,N112))</f>
        <v/>
      </c>
      <c r="P112" s="56" t="str">
        <f aca="false">IF(O112="","",O112*(1-Settings!$B$4)-K112)</f>
        <v/>
      </c>
      <c r="Q112" s="61" t="str">
        <f aca="false">IF(OR(O112="",O112=0),"",P112/O112)</f>
        <v/>
      </c>
      <c r="R112" s="52"/>
      <c r="S112" s="65" t="str">
        <f aca="false">IF(OR(B112="",R112="Paid",R112="Lost",R112="Shipped"),"",B112+Settings!$B$8)</f>
        <v/>
      </c>
      <c r="T112" s="10" t="str">
        <f aca="true">IF(OR(B112="",R112="Paid",R112="Lost"),"",TODAY()-B112)</f>
        <v/>
      </c>
      <c r="U112" s="53"/>
      <c r="V112" s="66"/>
    </row>
    <row r="113" customFormat="false" ht="15" hidden="false" customHeight="false" outlineLevel="0" collapsed="false">
      <c r="A113" s="10" t="str">
        <f aca="false">IF(B113="","","Q-"&amp;TEXT(ROW()-4,"000"))</f>
        <v/>
      </c>
      <c r="B113" s="53"/>
      <c r="C113" s="52"/>
      <c r="D113" s="52"/>
      <c r="E113" s="52"/>
      <c r="F113" s="52"/>
      <c r="G113" s="53"/>
      <c r="H113" s="52"/>
      <c r="I113" s="55"/>
      <c r="J113" s="55"/>
      <c r="K113" s="56" t="str">
        <f aca="false">IF(OR(F113="",I113=""),"",F113*I113+N(J113))</f>
        <v/>
      </c>
      <c r="L113" s="61" t="str">
        <f aca="false">IF(K113="","",INDEX(Settings!$B$14:$B$18,MATCH(K113,Settings!$A$14:$A$18,1)))</f>
        <v/>
      </c>
      <c r="M113" s="56" t="str">
        <f aca="false">IF(K113="","",CEILING(MAX(K113*(1+L113),K113+Settings!$B$5)/(1-Settings!$B$4),Settings!$B$6))</f>
        <v/>
      </c>
      <c r="N113" s="55"/>
      <c r="O113" s="56" t="str">
        <f aca="false">IF(K113="","",IF(N113="",M113,N113))</f>
        <v/>
      </c>
      <c r="P113" s="56" t="str">
        <f aca="false">IF(O113="","",O113*(1-Settings!$B$4)-K113)</f>
        <v/>
      </c>
      <c r="Q113" s="61" t="str">
        <f aca="false">IF(OR(O113="",O113=0),"",P113/O113)</f>
        <v/>
      </c>
      <c r="R113" s="52"/>
      <c r="S113" s="65" t="str">
        <f aca="false">IF(OR(B113="",R113="Paid",R113="Lost",R113="Shipped"),"",B113+Settings!$B$8)</f>
        <v/>
      </c>
      <c r="T113" s="10" t="str">
        <f aca="true">IF(OR(B113="",R113="Paid",R113="Lost"),"",TODAY()-B113)</f>
        <v/>
      </c>
      <c r="U113" s="53"/>
      <c r="V113" s="66"/>
    </row>
    <row r="114" customFormat="false" ht="15" hidden="false" customHeight="false" outlineLevel="0" collapsed="false">
      <c r="A114" s="10" t="str">
        <f aca="false">IF(B114="","","Q-"&amp;TEXT(ROW()-4,"000"))</f>
        <v/>
      </c>
      <c r="B114" s="53"/>
      <c r="C114" s="52"/>
      <c r="D114" s="52"/>
      <c r="E114" s="52"/>
      <c r="F114" s="52"/>
      <c r="G114" s="53"/>
      <c r="H114" s="52"/>
      <c r="I114" s="55"/>
      <c r="J114" s="55"/>
      <c r="K114" s="56" t="str">
        <f aca="false">IF(OR(F114="",I114=""),"",F114*I114+N(J114))</f>
        <v/>
      </c>
      <c r="L114" s="61" t="str">
        <f aca="false">IF(K114="","",INDEX(Settings!$B$14:$B$18,MATCH(K114,Settings!$A$14:$A$18,1)))</f>
        <v/>
      </c>
      <c r="M114" s="56" t="str">
        <f aca="false">IF(K114="","",CEILING(MAX(K114*(1+L114),K114+Settings!$B$5)/(1-Settings!$B$4),Settings!$B$6))</f>
        <v/>
      </c>
      <c r="N114" s="55"/>
      <c r="O114" s="56" t="str">
        <f aca="false">IF(K114="","",IF(N114="",M114,N114))</f>
        <v/>
      </c>
      <c r="P114" s="56" t="str">
        <f aca="false">IF(O114="","",O114*(1-Settings!$B$4)-K114)</f>
        <v/>
      </c>
      <c r="Q114" s="61" t="str">
        <f aca="false">IF(OR(O114="",O114=0),"",P114/O114)</f>
        <v/>
      </c>
      <c r="R114" s="52"/>
      <c r="S114" s="65" t="str">
        <f aca="false">IF(OR(B114="",R114="Paid",R114="Lost",R114="Shipped"),"",B114+Settings!$B$8)</f>
        <v/>
      </c>
      <c r="T114" s="10" t="str">
        <f aca="true">IF(OR(B114="",R114="Paid",R114="Lost"),"",TODAY()-B114)</f>
        <v/>
      </c>
      <c r="U114" s="53"/>
      <c r="V114" s="66"/>
    </row>
    <row r="115" customFormat="false" ht="15" hidden="false" customHeight="false" outlineLevel="0" collapsed="false">
      <c r="A115" s="10" t="str">
        <f aca="false">IF(B115="","","Q-"&amp;TEXT(ROW()-4,"000"))</f>
        <v/>
      </c>
      <c r="B115" s="53"/>
      <c r="C115" s="52"/>
      <c r="D115" s="52"/>
      <c r="E115" s="52"/>
      <c r="F115" s="52"/>
      <c r="G115" s="53"/>
      <c r="H115" s="52"/>
      <c r="I115" s="55"/>
      <c r="J115" s="55"/>
      <c r="K115" s="56" t="str">
        <f aca="false">IF(OR(F115="",I115=""),"",F115*I115+N(J115))</f>
        <v/>
      </c>
      <c r="L115" s="61" t="str">
        <f aca="false">IF(K115="","",INDEX(Settings!$B$14:$B$18,MATCH(K115,Settings!$A$14:$A$18,1)))</f>
        <v/>
      </c>
      <c r="M115" s="56" t="str">
        <f aca="false">IF(K115="","",CEILING(MAX(K115*(1+L115),K115+Settings!$B$5)/(1-Settings!$B$4),Settings!$B$6))</f>
        <v/>
      </c>
      <c r="N115" s="55"/>
      <c r="O115" s="56" t="str">
        <f aca="false">IF(K115="","",IF(N115="",M115,N115))</f>
        <v/>
      </c>
      <c r="P115" s="56" t="str">
        <f aca="false">IF(O115="","",O115*(1-Settings!$B$4)-K115)</f>
        <v/>
      </c>
      <c r="Q115" s="61" t="str">
        <f aca="false">IF(OR(O115="",O115=0),"",P115/O115)</f>
        <v/>
      </c>
      <c r="R115" s="52"/>
      <c r="S115" s="65" t="str">
        <f aca="false">IF(OR(B115="",R115="Paid",R115="Lost",R115="Shipped"),"",B115+Settings!$B$8)</f>
        <v/>
      </c>
      <c r="T115" s="10" t="str">
        <f aca="true">IF(OR(B115="",R115="Paid",R115="Lost"),"",TODAY()-B115)</f>
        <v/>
      </c>
      <c r="U115" s="53"/>
      <c r="V115" s="66"/>
    </row>
    <row r="116" customFormat="false" ht="15" hidden="false" customHeight="false" outlineLevel="0" collapsed="false">
      <c r="A116" s="10" t="str">
        <f aca="false">IF(B116="","","Q-"&amp;TEXT(ROW()-4,"000"))</f>
        <v/>
      </c>
      <c r="B116" s="53"/>
      <c r="C116" s="52"/>
      <c r="D116" s="52"/>
      <c r="E116" s="52"/>
      <c r="F116" s="52"/>
      <c r="G116" s="53"/>
      <c r="H116" s="52"/>
      <c r="I116" s="55"/>
      <c r="J116" s="55"/>
      <c r="K116" s="56" t="str">
        <f aca="false">IF(OR(F116="",I116=""),"",F116*I116+N(J116))</f>
        <v/>
      </c>
      <c r="L116" s="61" t="str">
        <f aca="false">IF(K116="","",INDEX(Settings!$B$14:$B$18,MATCH(K116,Settings!$A$14:$A$18,1)))</f>
        <v/>
      </c>
      <c r="M116" s="56" t="str">
        <f aca="false">IF(K116="","",CEILING(MAX(K116*(1+L116),K116+Settings!$B$5)/(1-Settings!$B$4),Settings!$B$6))</f>
        <v/>
      </c>
      <c r="N116" s="55"/>
      <c r="O116" s="56" t="str">
        <f aca="false">IF(K116="","",IF(N116="",M116,N116))</f>
        <v/>
      </c>
      <c r="P116" s="56" t="str">
        <f aca="false">IF(O116="","",O116*(1-Settings!$B$4)-K116)</f>
        <v/>
      </c>
      <c r="Q116" s="61" t="str">
        <f aca="false">IF(OR(O116="",O116=0),"",P116/O116)</f>
        <v/>
      </c>
      <c r="R116" s="52"/>
      <c r="S116" s="65" t="str">
        <f aca="false">IF(OR(B116="",R116="Paid",R116="Lost",R116="Shipped"),"",B116+Settings!$B$8)</f>
        <v/>
      </c>
      <c r="T116" s="10" t="str">
        <f aca="true">IF(OR(B116="",R116="Paid",R116="Lost"),"",TODAY()-B116)</f>
        <v/>
      </c>
      <c r="U116" s="53"/>
      <c r="V116" s="66"/>
    </row>
    <row r="117" customFormat="false" ht="15" hidden="false" customHeight="false" outlineLevel="0" collapsed="false">
      <c r="A117" s="10" t="str">
        <f aca="false">IF(B117="","","Q-"&amp;TEXT(ROW()-4,"000"))</f>
        <v/>
      </c>
      <c r="B117" s="53"/>
      <c r="C117" s="52"/>
      <c r="D117" s="52"/>
      <c r="E117" s="52"/>
      <c r="F117" s="52"/>
      <c r="G117" s="53"/>
      <c r="H117" s="52"/>
      <c r="I117" s="55"/>
      <c r="J117" s="55"/>
      <c r="K117" s="56" t="str">
        <f aca="false">IF(OR(F117="",I117=""),"",F117*I117+N(J117))</f>
        <v/>
      </c>
      <c r="L117" s="61" t="str">
        <f aca="false">IF(K117="","",INDEX(Settings!$B$14:$B$18,MATCH(K117,Settings!$A$14:$A$18,1)))</f>
        <v/>
      </c>
      <c r="M117" s="56" t="str">
        <f aca="false">IF(K117="","",CEILING(MAX(K117*(1+L117),K117+Settings!$B$5)/(1-Settings!$B$4),Settings!$B$6))</f>
        <v/>
      </c>
      <c r="N117" s="55"/>
      <c r="O117" s="56" t="str">
        <f aca="false">IF(K117="","",IF(N117="",M117,N117))</f>
        <v/>
      </c>
      <c r="P117" s="56" t="str">
        <f aca="false">IF(O117="","",O117*(1-Settings!$B$4)-K117)</f>
        <v/>
      </c>
      <c r="Q117" s="61" t="str">
        <f aca="false">IF(OR(O117="",O117=0),"",P117/O117)</f>
        <v/>
      </c>
      <c r="R117" s="52"/>
      <c r="S117" s="65" t="str">
        <f aca="false">IF(OR(B117="",R117="Paid",R117="Lost",R117="Shipped"),"",B117+Settings!$B$8)</f>
        <v/>
      </c>
      <c r="T117" s="10" t="str">
        <f aca="true">IF(OR(B117="",R117="Paid",R117="Lost"),"",TODAY()-B117)</f>
        <v/>
      </c>
      <c r="U117" s="53"/>
      <c r="V117" s="66"/>
    </row>
    <row r="118" customFormat="false" ht="15" hidden="false" customHeight="false" outlineLevel="0" collapsed="false">
      <c r="A118" s="10" t="str">
        <f aca="false">IF(B118="","","Q-"&amp;TEXT(ROW()-4,"000"))</f>
        <v/>
      </c>
      <c r="B118" s="53"/>
      <c r="C118" s="52"/>
      <c r="D118" s="52"/>
      <c r="E118" s="52"/>
      <c r="F118" s="52"/>
      <c r="G118" s="53"/>
      <c r="H118" s="52"/>
      <c r="I118" s="55"/>
      <c r="J118" s="55"/>
      <c r="K118" s="56" t="str">
        <f aca="false">IF(OR(F118="",I118=""),"",F118*I118+N(J118))</f>
        <v/>
      </c>
      <c r="L118" s="61" t="str">
        <f aca="false">IF(K118="","",INDEX(Settings!$B$14:$B$18,MATCH(K118,Settings!$A$14:$A$18,1)))</f>
        <v/>
      </c>
      <c r="M118" s="56" t="str">
        <f aca="false">IF(K118="","",CEILING(MAX(K118*(1+L118),K118+Settings!$B$5)/(1-Settings!$B$4),Settings!$B$6))</f>
        <v/>
      </c>
      <c r="N118" s="55"/>
      <c r="O118" s="56" t="str">
        <f aca="false">IF(K118="","",IF(N118="",M118,N118))</f>
        <v/>
      </c>
      <c r="P118" s="56" t="str">
        <f aca="false">IF(O118="","",O118*(1-Settings!$B$4)-K118)</f>
        <v/>
      </c>
      <c r="Q118" s="61" t="str">
        <f aca="false">IF(OR(O118="",O118=0),"",P118/O118)</f>
        <v/>
      </c>
      <c r="R118" s="52"/>
      <c r="S118" s="65" t="str">
        <f aca="false">IF(OR(B118="",R118="Paid",R118="Lost",R118="Shipped"),"",B118+Settings!$B$8)</f>
        <v/>
      </c>
      <c r="T118" s="10" t="str">
        <f aca="true">IF(OR(B118="",R118="Paid",R118="Lost"),"",TODAY()-B118)</f>
        <v/>
      </c>
      <c r="U118" s="53"/>
      <c r="V118" s="66"/>
    </row>
    <row r="119" customFormat="false" ht="15" hidden="false" customHeight="false" outlineLevel="0" collapsed="false">
      <c r="A119" s="10" t="str">
        <f aca="false">IF(B119="","","Q-"&amp;TEXT(ROW()-4,"000"))</f>
        <v/>
      </c>
      <c r="B119" s="53"/>
      <c r="C119" s="52"/>
      <c r="D119" s="52"/>
      <c r="E119" s="52"/>
      <c r="F119" s="52"/>
      <c r="G119" s="53"/>
      <c r="H119" s="52"/>
      <c r="I119" s="55"/>
      <c r="J119" s="55"/>
      <c r="K119" s="56" t="str">
        <f aca="false">IF(OR(F119="",I119=""),"",F119*I119+N(J119))</f>
        <v/>
      </c>
      <c r="L119" s="61" t="str">
        <f aca="false">IF(K119="","",INDEX(Settings!$B$14:$B$18,MATCH(K119,Settings!$A$14:$A$18,1)))</f>
        <v/>
      </c>
      <c r="M119" s="56" t="str">
        <f aca="false">IF(K119="","",CEILING(MAX(K119*(1+L119),K119+Settings!$B$5)/(1-Settings!$B$4),Settings!$B$6))</f>
        <v/>
      </c>
      <c r="N119" s="55"/>
      <c r="O119" s="56" t="str">
        <f aca="false">IF(K119="","",IF(N119="",M119,N119))</f>
        <v/>
      </c>
      <c r="P119" s="56" t="str">
        <f aca="false">IF(O119="","",O119*(1-Settings!$B$4)-K119)</f>
        <v/>
      </c>
      <c r="Q119" s="61" t="str">
        <f aca="false">IF(OR(O119="",O119=0),"",P119/O119)</f>
        <v/>
      </c>
      <c r="R119" s="52"/>
      <c r="S119" s="65" t="str">
        <f aca="false">IF(OR(B119="",R119="Paid",R119="Lost",R119="Shipped"),"",B119+Settings!$B$8)</f>
        <v/>
      </c>
      <c r="T119" s="10" t="str">
        <f aca="true">IF(OR(B119="",R119="Paid",R119="Lost"),"",TODAY()-B119)</f>
        <v/>
      </c>
      <c r="U119" s="53"/>
      <c r="V119" s="66"/>
    </row>
    <row r="120" customFormat="false" ht="15" hidden="false" customHeight="false" outlineLevel="0" collapsed="false">
      <c r="A120" s="10" t="str">
        <f aca="false">IF(B120="","","Q-"&amp;TEXT(ROW()-4,"000"))</f>
        <v/>
      </c>
      <c r="B120" s="53"/>
      <c r="C120" s="52"/>
      <c r="D120" s="52"/>
      <c r="E120" s="52"/>
      <c r="F120" s="52"/>
      <c r="G120" s="53"/>
      <c r="H120" s="52"/>
      <c r="I120" s="55"/>
      <c r="J120" s="55"/>
      <c r="K120" s="56" t="str">
        <f aca="false">IF(OR(F120="",I120=""),"",F120*I120+N(J120))</f>
        <v/>
      </c>
      <c r="L120" s="61" t="str">
        <f aca="false">IF(K120="","",INDEX(Settings!$B$14:$B$18,MATCH(K120,Settings!$A$14:$A$18,1)))</f>
        <v/>
      </c>
      <c r="M120" s="56" t="str">
        <f aca="false">IF(K120="","",CEILING(MAX(K120*(1+L120),K120+Settings!$B$5)/(1-Settings!$B$4),Settings!$B$6))</f>
        <v/>
      </c>
      <c r="N120" s="55"/>
      <c r="O120" s="56" t="str">
        <f aca="false">IF(K120="","",IF(N120="",M120,N120))</f>
        <v/>
      </c>
      <c r="P120" s="56" t="str">
        <f aca="false">IF(O120="","",O120*(1-Settings!$B$4)-K120)</f>
        <v/>
      </c>
      <c r="Q120" s="61" t="str">
        <f aca="false">IF(OR(O120="",O120=0),"",P120/O120)</f>
        <v/>
      </c>
      <c r="R120" s="52"/>
      <c r="S120" s="65" t="str">
        <f aca="false">IF(OR(B120="",R120="Paid",R120="Lost",R120="Shipped"),"",B120+Settings!$B$8)</f>
        <v/>
      </c>
      <c r="T120" s="10" t="str">
        <f aca="true">IF(OR(B120="",R120="Paid",R120="Lost"),"",TODAY()-B120)</f>
        <v/>
      </c>
      <c r="U120" s="53"/>
      <c r="V120" s="66"/>
    </row>
    <row r="121" customFormat="false" ht="15" hidden="false" customHeight="false" outlineLevel="0" collapsed="false">
      <c r="A121" s="10" t="str">
        <f aca="false">IF(B121="","","Q-"&amp;TEXT(ROW()-4,"000"))</f>
        <v/>
      </c>
      <c r="B121" s="53"/>
      <c r="C121" s="52"/>
      <c r="D121" s="52"/>
      <c r="E121" s="52"/>
      <c r="F121" s="52"/>
      <c r="G121" s="53"/>
      <c r="H121" s="52"/>
      <c r="I121" s="55"/>
      <c r="J121" s="55"/>
      <c r="K121" s="56" t="str">
        <f aca="false">IF(OR(F121="",I121=""),"",F121*I121+N(J121))</f>
        <v/>
      </c>
      <c r="L121" s="61" t="str">
        <f aca="false">IF(K121="","",INDEX(Settings!$B$14:$B$18,MATCH(K121,Settings!$A$14:$A$18,1)))</f>
        <v/>
      </c>
      <c r="M121" s="56" t="str">
        <f aca="false">IF(K121="","",CEILING(MAX(K121*(1+L121),K121+Settings!$B$5)/(1-Settings!$B$4),Settings!$B$6))</f>
        <v/>
      </c>
      <c r="N121" s="55"/>
      <c r="O121" s="56" t="str">
        <f aca="false">IF(K121="","",IF(N121="",M121,N121))</f>
        <v/>
      </c>
      <c r="P121" s="56" t="str">
        <f aca="false">IF(O121="","",O121*(1-Settings!$B$4)-K121)</f>
        <v/>
      </c>
      <c r="Q121" s="61" t="str">
        <f aca="false">IF(OR(O121="",O121=0),"",P121/O121)</f>
        <v/>
      </c>
      <c r="R121" s="52"/>
      <c r="S121" s="65" t="str">
        <f aca="false">IF(OR(B121="",R121="Paid",R121="Lost",R121="Shipped"),"",B121+Settings!$B$8)</f>
        <v/>
      </c>
      <c r="T121" s="10" t="str">
        <f aca="true">IF(OR(B121="",R121="Paid",R121="Lost"),"",TODAY()-B121)</f>
        <v/>
      </c>
      <c r="U121" s="53"/>
      <c r="V121" s="66"/>
    </row>
    <row r="122" customFormat="false" ht="15" hidden="false" customHeight="false" outlineLevel="0" collapsed="false">
      <c r="A122" s="10" t="str">
        <f aca="false">IF(B122="","","Q-"&amp;TEXT(ROW()-4,"000"))</f>
        <v/>
      </c>
      <c r="B122" s="53"/>
      <c r="C122" s="52"/>
      <c r="D122" s="52"/>
      <c r="E122" s="52"/>
      <c r="F122" s="52"/>
      <c r="G122" s="53"/>
      <c r="H122" s="52"/>
      <c r="I122" s="55"/>
      <c r="J122" s="55"/>
      <c r="K122" s="56" t="str">
        <f aca="false">IF(OR(F122="",I122=""),"",F122*I122+N(J122))</f>
        <v/>
      </c>
      <c r="L122" s="61" t="str">
        <f aca="false">IF(K122="","",INDEX(Settings!$B$14:$B$18,MATCH(K122,Settings!$A$14:$A$18,1)))</f>
        <v/>
      </c>
      <c r="M122" s="56" t="str">
        <f aca="false">IF(K122="","",CEILING(MAX(K122*(1+L122),K122+Settings!$B$5)/(1-Settings!$B$4),Settings!$B$6))</f>
        <v/>
      </c>
      <c r="N122" s="55"/>
      <c r="O122" s="56" t="str">
        <f aca="false">IF(K122="","",IF(N122="",M122,N122))</f>
        <v/>
      </c>
      <c r="P122" s="56" t="str">
        <f aca="false">IF(O122="","",O122*(1-Settings!$B$4)-K122)</f>
        <v/>
      </c>
      <c r="Q122" s="61" t="str">
        <f aca="false">IF(OR(O122="",O122=0),"",P122/O122)</f>
        <v/>
      </c>
      <c r="R122" s="52"/>
      <c r="S122" s="65" t="str">
        <f aca="false">IF(OR(B122="",R122="Paid",R122="Lost",R122="Shipped"),"",B122+Settings!$B$8)</f>
        <v/>
      </c>
      <c r="T122" s="10" t="str">
        <f aca="true">IF(OR(B122="",R122="Paid",R122="Lost"),"",TODAY()-B122)</f>
        <v/>
      </c>
      <c r="U122" s="53"/>
      <c r="V122" s="66"/>
    </row>
    <row r="123" customFormat="false" ht="15" hidden="false" customHeight="false" outlineLevel="0" collapsed="false">
      <c r="A123" s="10" t="str">
        <f aca="false">IF(B123="","","Q-"&amp;TEXT(ROW()-4,"000"))</f>
        <v/>
      </c>
      <c r="B123" s="53"/>
      <c r="C123" s="52"/>
      <c r="D123" s="52"/>
      <c r="E123" s="52"/>
      <c r="F123" s="52"/>
      <c r="G123" s="53"/>
      <c r="H123" s="52"/>
      <c r="I123" s="55"/>
      <c r="J123" s="55"/>
      <c r="K123" s="56" t="str">
        <f aca="false">IF(OR(F123="",I123=""),"",F123*I123+N(J123))</f>
        <v/>
      </c>
      <c r="L123" s="61" t="str">
        <f aca="false">IF(K123="","",INDEX(Settings!$B$14:$B$18,MATCH(K123,Settings!$A$14:$A$18,1)))</f>
        <v/>
      </c>
      <c r="M123" s="56" t="str">
        <f aca="false">IF(K123="","",CEILING(MAX(K123*(1+L123),K123+Settings!$B$5)/(1-Settings!$B$4),Settings!$B$6))</f>
        <v/>
      </c>
      <c r="N123" s="55"/>
      <c r="O123" s="56" t="str">
        <f aca="false">IF(K123="","",IF(N123="",M123,N123))</f>
        <v/>
      </c>
      <c r="P123" s="56" t="str">
        <f aca="false">IF(O123="","",O123*(1-Settings!$B$4)-K123)</f>
        <v/>
      </c>
      <c r="Q123" s="61" t="str">
        <f aca="false">IF(OR(O123="",O123=0),"",P123/O123)</f>
        <v/>
      </c>
      <c r="R123" s="52"/>
      <c r="S123" s="65" t="str">
        <f aca="false">IF(OR(B123="",R123="Paid",R123="Lost",R123="Shipped"),"",B123+Settings!$B$8)</f>
        <v/>
      </c>
      <c r="T123" s="10" t="str">
        <f aca="true">IF(OR(B123="",R123="Paid",R123="Lost"),"",TODAY()-B123)</f>
        <v/>
      </c>
      <c r="U123" s="53"/>
      <c r="V123" s="66"/>
    </row>
    <row r="124" customFormat="false" ht="15" hidden="false" customHeight="false" outlineLevel="0" collapsed="false">
      <c r="A124" s="10" t="str">
        <f aca="false">IF(B124="","","Q-"&amp;TEXT(ROW()-4,"000"))</f>
        <v/>
      </c>
      <c r="B124" s="53"/>
      <c r="C124" s="52"/>
      <c r="D124" s="52"/>
      <c r="E124" s="52"/>
      <c r="F124" s="52"/>
      <c r="G124" s="53"/>
      <c r="H124" s="52"/>
      <c r="I124" s="55"/>
      <c r="J124" s="55"/>
      <c r="K124" s="56" t="str">
        <f aca="false">IF(OR(F124="",I124=""),"",F124*I124+N(J124))</f>
        <v/>
      </c>
      <c r="L124" s="61" t="str">
        <f aca="false">IF(K124="","",INDEX(Settings!$B$14:$B$18,MATCH(K124,Settings!$A$14:$A$18,1)))</f>
        <v/>
      </c>
      <c r="M124" s="56" t="str">
        <f aca="false">IF(K124="","",CEILING(MAX(K124*(1+L124),K124+Settings!$B$5)/(1-Settings!$B$4),Settings!$B$6))</f>
        <v/>
      </c>
      <c r="N124" s="55"/>
      <c r="O124" s="56" t="str">
        <f aca="false">IF(K124="","",IF(N124="",M124,N124))</f>
        <v/>
      </c>
      <c r="P124" s="56" t="str">
        <f aca="false">IF(O124="","",O124*(1-Settings!$B$4)-K124)</f>
        <v/>
      </c>
      <c r="Q124" s="61" t="str">
        <f aca="false">IF(OR(O124="",O124=0),"",P124/O124)</f>
        <v/>
      </c>
      <c r="R124" s="52"/>
      <c r="S124" s="65" t="str">
        <f aca="false">IF(OR(B124="",R124="Paid",R124="Lost",R124="Shipped"),"",B124+Settings!$B$8)</f>
        <v/>
      </c>
      <c r="T124" s="10" t="str">
        <f aca="true">IF(OR(B124="",R124="Paid",R124="Lost"),"",TODAY()-B124)</f>
        <v/>
      </c>
      <c r="U124" s="53"/>
      <c r="V124" s="66"/>
    </row>
    <row r="125" customFormat="false" ht="15" hidden="false" customHeight="false" outlineLevel="0" collapsed="false">
      <c r="A125" s="10" t="str">
        <f aca="false">IF(B125="","","Q-"&amp;TEXT(ROW()-4,"000"))</f>
        <v/>
      </c>
      <c r="B125" s="53"/>
      <c r="C125" s="52"/>
      <c r="D125" s="52"/>
      <c r="E125" s="52"/>
      <c r="F125" s="52"/>
      <c r="G125" s="53"/>
      <c r="H125" s="52"/>
      <c r="I125" s="55"/>
      <c r="J125" s="55"/>
      <c r="K125" s="56" t="str">
        <f aca="false">IF(OR(F125="",I125=""),"",F125*I125+N(J125))</f>
        <v/>
      </c>
      <c r="L125" s="61" t="str">
        <f aca="false">IF(K125="","",INDEX(Settings!$B$14:$B$18,MATCH(K125,Settings!$A$14:$A$18,1)))</f>
        <v/>
      </c>
      <c r="M125" s="56" t="str">
        <f aca="false">IF(K125="","",CEILING(MAX(K125*(1+L125),K125+Settings!$B$5)/(1-Settings!$B$4),Settings!$B$6))</f>
        <v/>
      </c>
      <c r="N125" s="55"/>
      <c r="O125" s="56" t="str">
        <f aca="false">IF(K125="","",IF(N125="",M125,N125))</f>
        <v/>
      </c>
      <c r="P125" s="56" t="str">
        <f aca="false">IF(O125="","",O125*(1-Settings!$B$4)-K125)</f>
        <v/>
      </c>
      <c r="Q125" s="61" t="str">
        <f aca="false">IF(OR(O125="",O125=0),"",P125/O125)</f>
        <v/>
      </c>
      <c r="R125" s="52"/>
      <c r="S125" s="65" t="str">
        <f aca="false">IF(OR(B125="",R125="Paid",R125="Lost",R125="Shipped"),"",B125+Settings!$B$8)</f>
        <v/>
      </c>
      <c r="T125" s="10" t="str">
        <f aca="true">IF(OR(B125="",R125="Paid",R125="Lost"),"",TODAY()-B125)</f>
        <v/>
      </c>
      <c r="U125" s="53"/>
      <c r="V125" s="66"/>
    </row>
    <row r="126" customFormat="false" ht="15" hidden="false" customHeight="false" outlineLevel="0" collapsed="false">
      <c r="A126" s="10" t="str">
        <f aca="false">IF(B126="","","Q-"&amp;TEXT(ROW()-4,"000"))</f>
        <v/>
      </c>
      <c r="B126" s="53"/>
      <c r="C126" s="52"/>
      <c r="D126" s="52"/>
      <c r="E126" s="52"/>
      <c r="F126" s="52"/>
      <c r="G126" s="53"/>
      <c r="H126" s="52"/>
      <c r="I126" s="55"/>
      <c r="J126" s="55"/>
      <c r="K126" s="56" t="str">
        <f aca="false">IF(OR(F126="",I126=""),"",F126*I126+N(J126))</f>
        <v/>
      </c>
      <c r="L126" s="61" t="str">
        <f aca="false">IF(K126="","",INDEX(Settings!$B$14:$B$18,MATCH(K126,Settings!$A$14:$A$18,1)))</f>
        <v/>
      </c>
      <c r="M126" s="56" t="str">
        <f aca="false">IF(K126="","",CEILING(MAX(K126*(1+L126),K126+Settings!$B$5)/(1-Settings!$B$4),Settings!$B$6))</f>
        <v/>
      </c>
      <c r="N126" s="55"/>
      <c r="O126" s="56" t="str">
        <f aca="false">IF(K126="","",IF(N126="",M126,N126))</f>
        <v/>
      </c>
      <c r="P126" s="56" t="str">
        <f aca="false">IF(O126="","",O126*(1-Settings!$B$4)-K126)</f>
        <v/>
      </c>
      <c r="Q126" s="61" t="str">
        <f aca="false">IF(OR(O126="",O126=0),"",P126/O126)</f>
        <v/>
      </c>
      <c r="R126" s="52"/>
      <c r="S126" s="65" t="str">
        <f aca="false">IF(OR(B126="",R126="Paid",R126="Lost",R126="Shipped"),"",B126+Settings!$B$8)</f>
        <v/>
      </c>
      <c r="T126" s="10" t="str">
        <f aca="true">IF(OR(B126="",R126="Paid",R126="Lost"),"",TODAY()-B126)</f>
        <v/>
      </c>
      <c r="U126" s="53"/>
      <c r="V126" s="66"/>
    </row>
    <row r="127" customFormat="false" ht="15" hidden="false" customHeight="false" outlineLevel="0" collapsed="false">
      <c r="A127" s="10" t="str">
        <f aca="false">IF(B127="","","Q-"&amp;TEXT(ROW()-4,"000"))</f>
        <v/>
      </c>
      <c r="B127" s="53"/>
      <c r="C127" s="52"/>
      <c r="D127" s="52"/>
      <c r="E127" s="52"/>
      <c r="F127" s="52"/>
      <c r="G127" s="53"/>
      <c r="H127" s="52"/>
      <c r="I127" s="55"/>
      <c r="J127" s="55"/>
      <c r="K127" s="56" t="str">
        <f aca="false">IF(OR(F127="",I127=""),"",F127*I127+N(J127))</f>
        <v/>
      </c>
      <c r="L127" s="61" t="str">
        <f aca="false">IF(K127="","",INDEX(Settings!$B$14:$B$18,MATCH(K127,Settings!$A$14:$A$18,1)))</f>
        <v/>
      </c>
      <c r="M127" s="56" t="str">
        <f aca="false">IF(K127="","",CEILING(MAX(K127*(1+L127),K127+Settings!$B$5)/(1-Settings!$B$4),Settings!$B$6))</f>
        <v/>
      </c>
      <c r="N127" s="55"/>
      <c r="O127" s="56" t="str">
        <f aca="false">IF(K127="","",IF(N127="",M127,N127))</f>
        <v/>
      </c>
      <c r="P127" s="56" t="str">
        <f aca="false">IF(O127="","",O127*(1-Settings!$B$4)-K127)</f>
        <v/>
      </c>
      <c r="Q127" s="61" t="str">
        <f aca="false">IF(OR(O127="",O127=0),"",P127/O127)</f>
        <v/>
      </c>
      <c r="R127" s="52"/>
      <c r="S127" s="65" t="str">
        <f aca="false">IF(OR(B127="",R127="Paid",R127="Lost",R127="Shipped"),"",B127+Settings!$B$8)</f>
        <v/>
      </c>
      <c r="T127" s="10" t="str">
        <f aca="true">IF(OR(B127="",R127="Paid",R127="Lost"),"",TODAY()-B127)</f>
        <v/>
      </c>
      <c r="U127" s="53"/>
      <c r="V127" s="66"/>
    </row>
    <row r="128" customFormat="false" ht="15" hidden="false" customHeight="false" outlineLevel="0" collapsed="false">
      <c r="A128" s="10" t="str">
        <f aca="false">IF(B128="","","Q-"&amp;TEXT(ROW()-4,"000"))</f>
        <v/>
      </c>
      <c r="B128" s="53"/>
      <c r="C128" s="52"/>
      <c r="D128" s="52"/>
      <c r="E128" s="52"/>
      <c r="F128" s="52"/>
      <c r="G128" s="53"/>
      <c r="H128" s="52"/>
      <c r="I128" s="55"/>
      <c r="J128" s="55"/>
      <c r="K128" s="56" t="str">
        <f aca="false">IF(OR(F128="",I128=""),"",F128*I128+N(J128))</f>
        <v/>
      </c>
      <c r="L128" s="61" t="str">
        <f aca="false">IF(K128="","",INDEX(Settings!$B$14:$B$18,MATCH(K128,Settings!$A$14:$A$18,1)))</f>
        <v/>
      </c>
      <c r="M128" s="56" t="str">
        <f aca="false">IF(K128="","",CEILING(MAX(K128*(1+L128),K128+Settings!$B$5)/(1-Settings!$B$4),Settings!$B$6))</f>
        <v/>
      </c>
      <c r="N128" s="55"/>
      <c r="O128" s="56" t="str">
        <f aca="false">IF(K128="","",IF(N128="",M128,N128))</f>
        <v/>
      </c>
      <c r="P128" s="56" t="str">
        <f aca="false">IF(O128="","",O128*(1-Settings!$B$4)-K128)</f>
        <v/>
      </c>
      <c r="Q128" s="61" t="str">
        <f aca="false">IF(OR(O128="",O128=0),"",P128/O128)</f>
        <v/>
      </c>
      <c r="R128" s="52"/>
      <c r="S128" s="65" t="str">
        <f aca="false">IF(OR(B128="",R128="Paid",R128="Lost",R128="Shipped"),"",B128+Settings!$B$8)</f>
        <v/>
      </c>
      <c r="T128" s="10" t="str">
        <f aca="true">IF(OR(B128="",R128="Paid",R128="Lost"),"",TODAY()-B128)</f>
        <v/>
      </c>
      <c r="U128" s="53"/>
      <c r="V128" s="66"/>
    </row>
    <row r="129" customFormat="false" ht="15" hidden="false" customHeight="false" outlineLevel="0" collapsed="false">
      <c r="A129" s="10" t="str">
        <f aca="false">IF(B129="","","Q-"&amp;TEXT(ROW()-4,"000"))</f>
        <v/>
      </c>
      <c r="B129" s="53"/>
      <c r="C129" s="52"/>
      <c r="D129" s="52"/>
      <c r="E129" s="52"/>
      <c r="F129" s="52"/>
      <c r="G129" s="53"/>
      <c r="H129" s="52"/>
      <c r="I129" s="55"/>
      <c r="J129" s="55"/>
      <c r="K129" s="56" t="str">
        <f aca="false">IF(OR(F129="",I129=""),"",F129*I129+N(J129))</f>
        <v/>
      </c>
      <c r="L129" s="61" t="str">
        <f aca="false">IF(K129="","",INDEX(Settings!$B$14:$B$18,MATCH(K129,Settings!$A$14:$A$18,1)))</f>
        <v/>
      </c>
      <c r="M129" s="56" t="str">
        <f aca="false">IF(K129="","",CEILING(MAX(K129*(1+L129),K129+Settings!$B$5)/(1-Settings!$B$4),Settings!$B$6))</f>
        <v/>
      </c>
      <c r="N129" s="55"/>
      <c r="O129" s="56" t="str">
        <f aca="false">IF(K129="","",IF(N129="",M129,N129))</f>
        <v/>
      </c>
      <c r="P129" s="56" t="str">
        <f aca="false">IF(O129="","",O129*(1-Settings!$B$4)-K129)</f>
        <v/>
      </c>
      <c r="Q129" s="61" t="str">
        <f aca="false">IF(OR(O129="",O129=0),"",P129/O129)</f>
        <v/>
      </c>
      <c r="R129" s="52"/>
      <c r="S129" s="65" t="str">
        <f aca="false">IF(OR(B129="",R129="Paid",R129="Lost",R129="Shipped"),"",B129+Settings!$B$8)</f>
        <v/>
      </c>
      <c r="T129" s="10" t="str">
        <f aca="true">IF(OR(B129="",R129="Paid",R129="Lost"),"",TODAY()-B129)</f>
        <v/>
      </c>
      <c r="U129" s="53"/>
      <c r="V129" s="66"/>
    </row>
    <row r="130" customFormat="false" ht="15" hidden="false" customHeight="false" outlineLevel="0" collapsed="false">
      <c r="A130" s="10" t="str">
        <f aca="false">IF(B130="","","Q-"&amp;TEXT(ROW()-4,"000"))</f>
        <v/>
      </c>
      <c r="B130" s="53"/>
      <c r="C130" s="52"/>
      <c r="D130" s="52"/>
      <c r="E130" s="52"/>
      <c r="F130" s="52"/>
      <c r="G130" s="53"/>
      <c r="H130" s="52"/>
      <c r="I130" s="55"/>
      <c r="J130" s="55"/>
      <c r="K130" s="56" t="str">
        <f aca="false">IF(OR(F130="",I130=""),"",F130*I130+N(J130))</f>
        <v/>
      </c>
      <c r="L130" s="61" t="str">
        <f aca="false">IF(K130="","",INDEX(Settings!$B$14:$B$18,MATCH(K130,Settings!$A$14:$A$18,1)))</f>
        <v/>
      </c>
      <c r="M130" s="56" t="str">
        <f aca="false">IF(K130="","",CEILING(MAX(K130*(1+L130),K130+Settings!$B$5)/(1-Settings!$B$4),Settings!$B$6))</f>
        <v/>
      </c>
      <c r="N130" s="55"/>
      <c r="O130" s="56" t="str">
        <f aca="false">IF(K130="","",IF(N130="",M130,N130))</f>
        <v/>
      </c>
      <c r="P130" s="56" t="str">
        <f aca="false">IF(O130="","",O130*(1-Settings!$B$4)-K130)</f>
        <v/>
      </c>
      <c r="Q130" s="61" t="str">
        <f aca="false">IF(OR(O130="",O130=0),"",P130/O130)</f>
        <v/>
      </c>
      <c r="R130" s="52"/>
      <c r="S130" s="65" t="str">
        <f aca="false">IF(OR(B130="",R130="Paid",R130="Lost",R130="Shipped"),"",B130+Settings!$B$8)</f>
        <v/>
      </c>
      <c r="T130" s="10" t="str">
        <f aca="true">IF(OR(B130="",R130="Paid",R130="Lost"),"",TODAY()-B130)</f>
        <v/>
      </c>
      <c r="U130" s="53"/>
      <c r="V130" s="66"/>
    </row>
    <row r="131" customFormat="false" ht="15" hidden="false" customHeight="false" outlineLevel="0" collapsed="false">
      <c r="A131" s="10" t="str">
        <f aca="false">IF(B131="","","Q-"&amp;TEXT(ROW()-4,"000"))</f>
        <v/>
      </c>
      <c r="B131" s="53"/>
      <c r="C131" s="52"/>
      <c r="D131" s="52"/>
      <c r="E131" s="52"/>
      <c r="F131" s="52"/>
      <c r="G131" s="53"/>
      <c r="H131" s="52"/>
      <c r="I131" s="55"/>
      <c r="J131" s="55"/>
      <c r="K131" s="56" t="str">
        <f aca="false">IF(OR(F131="",I131=""),"",F131*I131+N(J131))</f>
        <v/>
      </c>
      <c r="L131" s="61" t="str">
        <f aca="false">IF(K131="","",INDEX(Settings!$B$14:$B$18,MATCH(K131,Settings!$A$14:$A$18,1)))</f>
        <v/>
      </c>
      <c r="M131" s="56" t="str">
        <f aca="false">IF(K131="","",CEILING(MAX(K131*(1+L131),K131+Settings!$B$5)/(1-Settings!$B$4),Settings!$B$6))</f>
        <v/>
      </c>
      <c r="N131" s="55"/>
      <c r="O131" s="56" t="str">
        <f aca="false">IF(K131="","",IF(N131="",M131,N131))</f>
        <v/>
      </c>
      <c r="P131" s="56" t="str">
        <f aca="false">IF(O131="","",O131*(1-Settings!$B$4)-K131)</f>
        <v/>
      </c>
      <c r="Q131" s="61" t="str">
        <f aca="false">IF(OR(O131="",O131=0),"",P131/O131)</f>
        <v/>
      </c>
      <c r="R131" s="52"/>
      <c r="S131" s="65" t="str">
        <f aca="false">IF(OR(B131="",R131="Paid",R131="Lost",R131="Shipped"),"",B131+Settings!$B$8)</f>
        <v/>
      </c>
      <c r="T131" s="10" t="str">
        <f aca="true">IF(OR(B131="",R131="Paid",R131="Lost"),"",TODAY()-B131)</f>
        <v/>
      </c>
      <c r="U131" s="53"/>
      <c r="V131" s="66"/>
    </row>
    <row r="132" customFormat="false" ht="15" hidden="false" customHeight="false" outlineLevel="0" collapsed="false">
      <c r="A132" s="10" t="str">
        <f aca="false">IF(B132="","","Q-"&amp;TEXT(ROW()-4,"000"))</f>
        <v/>
      </c>
      <c r="B132" s="53"/>
      <c r="C132" s="52"/>
      <c r="D132" s="52"/>
      <c r="E132" s="52"/>
      <c r="F132" s="52"/>
      <c r="G132" s="53"/>
      <c r="H132" s="52"/>
      <c r="I132" s="55"/>
      <c r="J132" s="55"/>
      <c r="K132" s="56" t="str">
        <f aca="false">IF(OR(F132="",I132=""),"",F132*I132+N(J132))</f>
        <v/>
      </c>
      <c r="L132" s="61" t="str">
        <f aca="false">IF(K132="","",INDEX(Settings!$B$14:$B$18,MATCH(K132,Settings!$A$14:$A$18,1)))</f>
        <v/>
      </c>
      <c r="M132" s="56" t="str">
        <f aca="false">IF(K132="","",CEILING(MAX(K132*(1+L132),K132+Settings!$B$5)/(1-Settings!$B$4),Settings!$B$6))</f>
        <v/>
      </c>
      <c r="N132" s="55"/>
      <c r="O132" s="56" t="str">
        <f aca="false">IF(K132="","",IF(N132="",M132,N132))</f>
        <v/>
      </c>
      <c r="P132" s="56" t="str">
        <f aca="false">IF(O132="","",O132*(1-Settings!$B$4)-K132)</f>
        <v/>
      </c>
      <c r="Q132" s="61" t="str">
        <f aca="false">IF(OR(O132="",O132=0),"",P132/O132)</f>
        <v/>
      </c>
      <c r="R132" s="52"/>
      <c r="S132" s="65" t="str">
        <f aca="false">IF(OR(B132="",R132="Paid",R132="Lost",R132="Shipped"),"",B132+Settings!$B$8)</f>
        <v/>
      </c>
      <c r="T132" s="10" t="str">
        <f aca="true">IF(OR(B132="",R132="Paid",R132="Lost"),"",TODAY()-B132)</f>
        <v/>
      </c>
      <c r="U132" s="53"/>
      <c r="V132" s="66"/>
    </row>
    <row r="133" customFormat="false" ht="15" hidden="false" customHeight="false" outlineLevel="0" collapsed="false">
      <c r="A133" s="10" t="str">
        <f aca="false">IF(B133="","","Q-"&amp;TEXT(ROW()-4,"000"))</f>
        <v/>
      </c>
      <c r="B133" s="53"/>
      <c r="C133" s="52"/>
      <c r="D133" s="52"/>
      <c r="E133" s="52"/>
      <c r="F133" s="52"/>
      <c r="G133" s="53"/>
      <c r="H133" s="52"/>
      <c r="I133" s="55"/>
      <c r="J133" s="55"/>
      <c r="K133" s="56" t="str">
        <f aca="false">IF(OR(F133="",I133=""),"",F133*I133+N(J133))</f>
        <v/>
      </c>
      <c r="L133" s="61" t="str">
        <f aca="false">IF(K133="","",INDEX(Settings!$B$14:$B$18,MATCH(K133,Settings!$A$14:$A$18,1)))</f>
        <v/>
      </c>
      <c r="M133" s="56" t="str">
        <f aca="false">IF(K133="","",CEILING(MAX(K133*(1+L133),K133+Settings!$B$5)/(1-Settings!$B$4),Settings!$B$6))</f>
        <v/>
      </c>
      <c r="N133" s="55"/>
      <c r="O133" s="56" t="str">
        <f aca="false">IF(K133="","",IF(N133="",M133,N133))</f>
        <v/>
      </c>
      <c r="P133" s="56" t="str">
        <f aca="false">IF(O133="","",O133*(1-Settings!$B$4)-K133)</f>
        <v/>
      </c>
      <c r="Q133" s="61" t="str">
        <f aca="false">IF(OR(O133="",O133=0),"",P133/O133)</f>
        <v/>
      </c>
      <c r="R133" s="52"/>
      <c r="S133" s="65" t="str">
        <f aca="false">IF(OR(B133="",R133="Paid",R133="Lost",R133="Shipped"),"",B133+Settings!$B$8)</f>
        <v/>
      </c>
      <c r="T133" s="10" t="str">
        <f aca="true">IF(OR(B133="",R133="Paid",R133="Lost"),"",TODAY()-B133)</f>
        <v/>
      </c>
      <c r="U133" s="53"/>
      <c r="V133" s="66"/>
    </row>
    <row r="134" customFormat="false" ht="15" hidden="false" customHeight="false" outlineLevel="0" collapsed="false">
      <c r="A134" s="10" t="str">
        <f aca="false">IF(B134="","","Q-"&amp;TEXT(ROW()-4,"000"))</f>
        <v/>
      </c>
      <c r="B134" s="53"/>
      <c r="C134" s="52"/>
      <c r="D134" s="52"/>
      <c r="E134" s="52"/>
      <c r="F134" s="52"/>
      <c r="G134" s="53"/>
      <c r="H134" s="52"/>
      <c r="I134" s="55"/>
      <c r="J134" s="55"/>
      <c r="K134" s="56" t="str">
        <f aca="false">IF(OR(F134="",I134=""),"",F134*I134+N(J134))</f>
        <v/>
      </c>
      <c r="L134" s="61" t="str">
        <f aca="false">IF(K134="","",INDEX(Settings!$B$14:$B$18,MATCH(K134,Settings!$A$14:$A$18,1)))</f>
        <v/>
      </c>
      <c r="M134" s="56" t="str">
        <f aca="false">IF(K134="","",CEILING(MAX(K134*(1+L134),K134+Settings!$B$5)/(1-Settings!$B$4),Settings!$B$6))</f>
        <v/>
      </c>
      <c r="N134" s="55"/>
      <c r="O134" s="56" t="str">
        <f aca="false">IF(K134="","",IF(N134="",M134,N134))</f>
        <v/>
      </c>
      <c r="P134" s="56" t="str">
        <f aca="false">IF(O134="","",O134*(1-Settings!$B$4)-K134)</f>
        <v/>
      </c>
      <c r="Q134" s="61" t="str">
        <f aca="false">IF(OR(O134="",O134=0),"",P134/O134)</f>
        <v/>
      </c>
      <c r="R134" s="52"/>
      <c r="S134" s="65" t="str">
        <f aca="false">IF(OR(B134="",R134="Paid",R134="Lost",R134="Shipped"),"",B134+Settings!$B$8)</f>
        <v/>
      </c>
      <c r="T134" s="10" t="str">
        <f aca="true">IF(OR(B134="",R134="Paid",R134="Lost"),"",TODAY()-B134)</f>
        <v/>
      </c>
      <c r="U134" s="53"/>
      <c r="V134" s="66"/>
    </row>
    <row r="135" customFormat="false" ht="15" hidden="false" customHeight="false" outlineLevel="0" collapsed="false">
      <c r="A135" s="10" t="str">
        <f aca="false">IF(B135="","","Q-"&amp;TEXT(ROW()-4,"000"))</f>
        <v/>
      </c>
      <c r="B135" s="53"/>
      <c r="C135" s="52"/>
      <c r="D135" s="52"/>
      <c r="E135" s="52"/>
      <c r="F135" s="52"/>
      <c r="G135" s="53"/>
      <c r="H135" s="52"/>
      <c r="I135" s="55"/>
      <c r="J135" s="55"/>
      <c r="K135" s="56" t="str">
        <f aca="false">IF(OR(F135="",I135=""),"",F135*I135+N(J135))</f>
        <v/>
      </c>
      <c r="L135" s="61" t="str">
        <f aca="false">IF(K135="","",INDEX(Settings!$B$14:$B$18,MATCH(K135,Settings!$A$14:$A$18,1)))</f>
        <v/>
      </c>
      <c r="M135" s="56" t="str">
        <f aca="false">IF(K135="","",CEILING(MAX(K135*(1+L135),K135+Settings!$B$5)/(1-Settings!$B$4),Settings!$B$6))</f>
        <v/>
      </c>
      <c r="N135" s="55"/>
      <c r="O135" s="56" t="str">
        <f aca="false">IF(K135="","",IF(N135="",M135,N135))</f>
        <v/>
      </c>
      <c r="P135" s="56" t="str">
        <f aca="false">IF(O135="","",O135*(1-Settings!$B$4)-K135)</f>
        <v/>
      </c>
      <c r="Q135" s="61" t="str">
        <f aca="false">IF(OR(O135="",O135=0),"",P135/O135)</f>
        <v/>
      </c>
      <c r="R135" s="52"/>
      <c r="S135" s="65" t="str">
        <f aca="false">IF(OR(B135="",R135="Paid",R135="Lost",R135="Shipped"),"",B135+Settings!$B$8)</f>
        <v/>
      </c>
      <c r="T135" s="10" t="str">
        <f aca="true">IF(OR(B135="",R135="Paid",R135="Lost"),"",TODAY()-B135)</f>
        <v/>
      </c>
      <c r="U135" s="53"/>
      <c r="V135" s="66"/>
    </row>
    <row r="136" customFormat="false" ht="15" hidden="false" customHeight="false" outlineLevel="0" collapsed="false">
      <c r="A136" s="10" t="str">
        <f aca="false">IF(B136="","","Q-"&amp;TEXT(ROW()-4,"000"))</f>
        <v/>
      </c>
      <c r="B136" s="53"/>
      <c r="C136" s="52"/>
      <c r="D136" s="52"/>
      <c r="E136" s="52"/>
      <c r="F136" s="52"/>
      <c r="G136" s="53"/>
      <c r="H136" s="52"/>
      <c r="I136" s="55"/>
      <c r="J136" s="55"/>
      <c r="K136" s="56" t="str">
        <f aca="false">IF(OR(F136="",I136=""),"",F136*I136+N(J136))</f>
        <v/>
      </c>
      <c r="L136" s="61" t="str">
        <f aca="false">IF(K136="","",INDEX(Settings!$B$14:$B$18,MATCH(K136,Settings!$A$14:$A$18,1)))</f>
        <v/>
      </c>
      <c r="M136" s="56" t="str">
        <f aca="false">IF(K136="","",CEILING(MAX(K136*(1+L136),K136+Settings!$B$5)/(1-Settings!$B$4),Settings!$B$6))</f>
        <v/>
      </c>
      <c r="N136" s="55"/>
      <c r="O136" s="56" t="str">
        <f aca="false">IF(K136="","",IF(N136="",M136,N136))</f>
        <v/>
      </c>
      <c r="P136" s="56" t="str">
        <f aca="false">IF(O136="","",O136*(1-Settings!$B$4)-K136)</f>
        <v/>
      </c>
      <c r="Q136" s="61" t="str">
        <f aca="false">IF(OR(O136="",O136=0),"",P136/O136)</f>
        <v/>
      </c>
      <c r="R136" s="52"/>
      <c r="S136" s="65" t="str">
        <f aca="false">IF(OR(B136="",R136="Paid",R136="Lost",R136="Shipped"),"",B136+Settings!$B$8)</f>
        <v/>
      </c>
      <c r="T136" s="10" t="str">
        <f aca="true">IF(OR(B136="",R136="Paid",R136="Lost"),"",TODAY()-B136)</f>
        <v/>
      </c>
      <c r="U136" s="53"/>
      <c r="V136" s="66"/>
    </row>
    <row r="137" customFormat="false" ht="15" hidden="false" customHeight="false" outlineLevel="0" collapsed="false">
      <c r="A137" s="10" t="str">
        <f aca="false">IF(B137="","","Q-"&amp;TEXT(ROW()-4,"000"))</f>
        <v/>
      </c>
      <c r="B137" s="53"/>
      <c r="C137" s="52"/>
      <c r="D137" s="52"/>
      <c r="E137" s="52"/>
      <c r="F137" s="52"/>
      <c r="G137" s="53"/>
      <c r="H137" s="52"/>
      <c r="I137" s="55"/>
      <c r="J137" s="55"/>
      <c r="K137" s="56" t="str">
        <f aca="false">IF(OR(F137="",I137=""),"",F137*I137+N(J137))</f>
        <v/>
      </c>
      <c r="L137" s="61" t="str">
        <f aca="false">IF(K137="","",INDEX(Settings!$B$14:$B$18,MATCH(K137,Settings!$A$14:$A$18,1)))</f>
        <v/>
      </c>
      <c r="M137" s="56" t="str">
        <f aca="false">IF(K137="","",CEILING(MAX(K137*(1+L137),K137+Settings!$B$5)/(1-Settings!$B$4),Settings!$B$6))</f>
        <v/>
      </c>
      <c r="N137" s="55"/>
      <c r="O137" s="56" t="str">
        <f aca="false">IF(K137="","",IF(N137="",M137,N137))</f>
        <v/>
      </c>
      <c r="P137" s="56" t="str">
        <f aca="false">IF(O137="","",O137*(1-Settings!$B$4)-K137)</f>
        <v/>
      </c>
      <c r="Q137" s="61" t="str">
        <f aca="false">IF(OR(O137="",O137=0),"",P137/O137)</f>
        <v/>
      </c>
      <c r="R137" s="52"/>
      <c r="S137" s="65" t="str">
        <f aca="false">IF(OR(B137="",R137="Paid",R137="Lost",R137="Shipped"),"",B137+Settings!$B$8)</f>
        <v/>
      </c>
      <c r="T137" s="10" t="str">
        <f aca="true">IF(OR(B137="",R137="Paid",R137="Lost"),"",TODAY()-B137)</f>
        <v/>
      </c>
      <c r="U137" s="53"/>
      <c r="V137" s="66"/>
    </row>
    <row r="138" customFormat="false" ht="15" hidden="false" customHeight="false" outlineLevel="0" collapsed="false">
      <c r="A138" s="10" t="str">
        <f aca="false">IF(B138="","","Q-"&amp;TEXT(ROW()-4,"000"))</f>
        <v/>
      </c>
      <c r="B138" s="53"/>
      <c r="C138" s="52"/>
      <c r="D138" s="52"/>
      <c r="E138" s="52"/>
      <c r="F138" s="52"/>
      <c r="G138" s="53"/>
      <c r="H138" s="52"/>
      <c r="I138" s="55"/>
      <c r="J138" s="55"/>
      <c r="K138" s="56" t="str">
        <f aca="false">IF(OR(F138="",I138=""),"",F138*I138+N(J138))</f>
        <v/>
      </c>
      <c r="L138" s="61" t="str">
        <f aca="false">IF(K138="","",INDEX(Settings!$B$14:$B$18,MATCH(K138,Settings!$A$14:$A$18,1)))</f>
        <v/>
      </c>
      <c r="M138" s="56" t="str">
        <f aca="false">IF(K138="","",CEILING(MAX(K138*(1+L138),K138+Settings!$B$5)/(1-Settings!$B$4),Settings!$B$6))</f>
        <v/>
      </c>
      <c r="N138" s="55"/>
      <c r="O138" s="56" t="str">
        <f aca="false">IF(K138="","",IF(N138="",M138,N138))</f>
        <v/>
      </c>
      <c r="P138" s="56" t="str">
        <f aca="false">IF(O138="","",O138*(1-Settings!$B$4)-K138)</f>
        <v/>
      </c>
      <c r="Q138" s="61" t="str">
        <f aca="false">IF(OR(O138="",O138=0),"",P138/O138)</f>
        <v/>
      </c>
      <c r="R138" s="52"/>
      <c r="S138" s="65" t="str">
        <f aca="false">IF(OR(B138="",R138="Paid",R138="Lost",R138="Shipped"),"",B138+Settings!$B$8)</f>
        <v/>
      </c>
      <c r="T138" s="10" t="str">
        <f aca="true">IF(OR(B138="",R138="Paid",R138="Lost"),"",TODAY()-B138)</f>
        <v/>
      </c>
      <c r="U138" s="53"/>
      <c r="V138" s="66"/>
    </row>
    <row r="139" customFormat="false" ht="15" hidden="false" customHeight="false" outlineLevel="0" collapsed="false">
      <c r="A139" s="10" t="str">
        <f aca="false">IF(B139="","","Q-"&amp;TEXT(ROW()-4,"000"))</f>
        <v/>
      </c>
      <c r="B139" s="53"/>
      <c r="C139" s="52"/>
      <c r="D139" s="52"/>
      <c r="E139" s="52"/>
      <c r="F139" s="52"/>
      <c r="G139" s="53"/>
      <c r="H139" s="52"/>
      <c r="I139" s="55"/>
      <c r="J139" s="55"/>
      <c r="K139" s="56" t="str">
        <f aca="false">IF(OR(F139="",I139=""),"",F139*I139+N(J139))</f>
        <v/>
      </c>
      <c r="L139" s="61" t="str">
        <f aca="false">IF(K139="","",INDEX(Settings!$B$14:$B$18,MATCH(K139,Settings!$A$14:$A$18,1)))</f>
        <v/>
      </c>
      <c r="M139" s="56" t="str">
        <f aca="false">IF(K139="","",CEILING(MAX(K139*(1+L139),K139+Settings!$B$5)/(1-Settings!$B$4),Settings!$B$6))</f>
        <v/>
      </c>
      <c r="N139" s="55"/>
      <c r="O139" s="56" t="str">
        <f aca="false">IF(K139="","",IF(N139="",M139,N139))</f>
        <v/>
      </c>
      <c r="P139" s="56" t="str">
        <f aca="false">IF(O139="","",O139*(1-Settings!$B$4)-K139)</f>
        <v/>
      </c>
      <c r="Q139" s="61" t="str">
        <f aca="false">IF(OR(O139="",O139=0),"",P139/O139)</f>
        <v/>
      </c>
      <c r="R139" s="52"/>
      <c r="S139" s="65" t="str">
        <f aca="false">IF(OR(B139="",R139="Paid",R139="Lost",R139="Shipped"),"",B139+Settings!$B$8)</f>
        <v/>
      </c>
      <c r="T139" s="10" t="str">
        <f aca="true">IF(OR(B139="",R139="Paid",R139="Lost"),"",TODAY()-B139)</f>
        <v/>
      </c>
      <c r="U139" s="53"/>
      <c r="V139" s="66"/>
    </row>
    <row r="140" customFormat="false" ht="15" hidden="false" customHeight="false" outlineLevel="0" collapsed="false">
      <c r="A140" s="10" t="str">
        <f aca="false">IF(B140="","","Q-"&amp;TEXT(ROW()-4,"000"))</f>
        <v/>
      </c>
      <c r="B140" s="53"/>
      <c r="C140" s="52"/>
      <c r="D140" s="52"/>
      <c r="E140" s="52"/>
      <c r="F140" s="52"/>
      <c r="G140" s="53"/>
      <c r="H140" s="52"/>
      <c r="I140" s="55"/>
      <c r="J140" s="55"/>
      <c r="K140" s="56" t="str">
        <f aca="false">IF(OR(F140="",I140=""),"",F140*I140+N(J140))</f>
        <v/>
      </c>
      <c r="L140" s="61" t="str">
        <f aca="false">IF(K140="","",INDEX(Settings!$B$14:$B$18,MATCH(K140,Settings!$A$14:$A$18,1)))</f>
        <v/>
      </c>
      <c r="M140" s="56" t="str">
        <f aca="false">IF(K140="","",CEILING(MAX(K140*(1+L140),K140+Settings!$B$5)/(1-Settings!$B$4),Settings!$B$6))</f>
        <v/>
      </c>
      <c r="N140" s="55"/>
      <c r="O140" s="56" t="str">
        <f aca="false">IF(K140="","",IF(N140="",M140,N140))</f>
        <v/>
      </c>
      <c r="P140" s="56" t="str">
        <f aca="false">IF(O140="","",O140*(1-Settings!$B$4)-K140)</f>
        <v/>
      </c>
      <c r="Q140" s="61" t="str">
        <f aca="false">IF(OR(O140="",O140=0),"",P140/O140)</f>
        <v/>
      </c>
      <c r="R140" s="52"/>
      <c r="S140" s="65" t="str">
        <f aca="false">IF(OR(B140="",R140="Paid",R140="Lost",R140="Shipped"),"",B140+Settings!$B$8)</f>
        <v/>
      </c>
      <c r="T140" s="10" t="str">
        <f aca="true">IF(OR(B140="",R140="Paid",R140="Lost"),"",TODAY()-B140)</f>
        <v/>
      </c>
      <c r="U140" s="53"/>
      <c r="V140" s="66"/>
    </row>
    <row r="141" customFormat="false" ht="15" hidden="false" customHeight="false" outlineLevel="0" collapsed="false">
      <c r="A141" s="10" t="str">
        <f aca="false">IF(B141="","","Q-"&amp;TEXT(ROW()-4,"000"))</f>
        <v/>
      </c>
      <c r="B141" s="53"/>
      <c r="C141" s="52"/>
      <c r="D141" s="52"/>
      <c r="E141" s="52"/>
      <c r="F141" s="52"/>
      <c r="G141" s="53"/>
      <c r="H141" s="52"/>
      <c r="I141" s="55"/>
      <c r="J141" s="55"/>
      <c r="K141" s="56" t="str">
        <f aca="false">IF(OR(F141="",I141=""),"",F141*I141+N(J141))</f>
        <v/>
      </c>
      <c r="L141" s="61" t="str">
        <f aca="false">IF(K141="","",INDEX(Settings!$B$14:$B$18,MATCH(K141,Settings!$A$14:$A$18,1)))</f>
        <v/>
      </c>
      <c r="M141" s="56" t="str">
        <f aca="false">IF(K141="","",CEILING(MAX(K141*(1+L141),K141+Settings!$B$5)/(1-Settings!$B$4),Settings!$B$6))</f>
        <v/>
      </c>
      <c r="N141" s="55"/>
      <c r="O141" s="56" t="str">
        <f aca="false">IF(K141="","",IF(N141="",M141,N141))</f>
        <v/>
      </c>
      <c r="P141" s="56" t="str">
        <f aca="false">IF(O141="","",O141*(1-Settings!$B$4)-K141)</f>
        <v/>
      </c>
      <c r="Q141" s="61" t="str">
        <f aca="false">IF(OR(O141="",O141=0),"",P141/O141)</f>
        <v/>
      </c>
      <c r="R141" s="52"/>
      <c r="S141" s="65" t="str">
        <f aca="false">IF(OR(B141="",R141="Paid",R141="Lost",R141="Shipped"),"",B141+Settings!$B$8)</f>
        <v/>
      </c>
      <c r="T141" s="10" t="str">
        <f aca="true">IF(OR(B141="",R141="Paid",R141="Lost"),"",TODAY()-B141)</f>
        <v/>
      </c>
      <c r="U141" s="53"/>
      <c r="V141" s="66"/>
    </row>
    <row r="142" customFormat="false" ht="15" hidden="false" customHeight="false" outlineLevel="0" collapsed="false">
      <c r="A142" s="10" t="str">
        <f aca="false">IF(B142="","","Q-"&amp;TEXT(ROW()-4,"000"))</f>
        <v/>
      </c>
      <c r="B142" s="53"/>
      <c r="C142" s="52"/>
      <c r="D142" s="52"/>
      <c r="E142" s="52"/>
      <c r="F142" s="52"/>
      <c r="G142" s="53"/>
      <c r="H142" s="52"/>
      <c r="I142" s="55"/>
      <c r="J142" s="55"/>
      <c r="K142" s="56" t="str">
        <f aca="false">IF(OR(F142="",I142=""),"",F142*I142+N(J142))</f>
        <v/>
      </c>
      <c r="L142" s="61" t="str">
        <f aca="false">IF(K142="","",INDEX(Settings!$B$14:$B$18,MATCH(K142,Settings!$A$14:$A$18,1)))</f>
        <v/>
      </c>
      <c r="M142" s="56" t="str">
        <f aca="false">IF(K142="","",CEILING(MAX(K142*(1+L142),K142+Settings!$B$5)/(1-Settings!$B$4),Settings!$B$6))</f>
        <v/>
      </c>
      <c r="N142" s="55"/>
      <c r="O142" s="56" t="str">
        <f aca="false">IF(K142="","",IF(N142="",M142,N142))</f>
        <v/>
      </c>
      <c r="P142" s="56" t="str">
        <f aca="false">IF(O142="","",O142*(1-Settings!$B$4)-K142)</f>
        <v/>
      </c>
      <c r="Q142" s="61" t="str">
        <f aca="false">IF(OR(O142="",O142=0),"",P142/O142)</f>
        <v/>
      </c>
      <c r="R142" s="52"/>
      <c r="S142" s="65" t="str">
        <f aca="false">IF(OR(B142="",R142="Paid",R142="Lost",R142="Shipped"),"",B142+Settings!$B$8)</f>
        <v/>
      </c>
      <c r="T142" s="10" t="str">
        <f aca="true">IF(OR(B142="",R142="Paid",R142="Lost"),"",TODAY()-B142)</f>
        <v/>
      </c>
      <c r="U142" s="53"/>
      <c r="V142" s="66"/>
    </row>
    <row r="143" customFormat="false" ht="15" hidden="false" customHeight="false" outlineLevel="0" collapsed="false">
      <c r="A143" s="10" t="str">
        <f aca="false">IF(B143="","","Q-"&amp;TEXT(ROW()-4,"000"))</f>
        <v/>
      </c>
      <c r="B143" s="53"/>
      <c r="C143" s="52"/>
      <c r="D143" s="52"/>
      <c r="E143" s="52"/>
      <c r="F143" s="52"/>
      <c r="G143" s="53"/>
      <c r="H143" s="52"/>
      <c r="I143" s="55"/>
      <c r="J143" s="55"/>
      <c r="K143" s="56" t="str">
        <f aca="false">IF(OR(F143="",I143=""),"",F143*I143+N(J143))</f>
        <v/>
      </c>
      <c r="L143" s="61" t="str">
        <f aca="false">IF(K143="","",INDEX(Settings!$B$14:$B$18,MATCH(K143,Settings!$A$14:$A$18,1)))</f>
        <v/>
      </c>
      <c r="M143" s="56" t="str">
        <f aca="false">IF(K143="","",CEILING(MAX(K143*(1+L143),K143+Settings!$B$5)/(1-Settings!$B$4),Settings!$B$6))</f>
        <v/>
      </c>
      <c r="N143" s="55"/>
      <c r="O143" s="56" t="str">
        <f aca="false">IF(K143="","",IF(N143="",M143,N143))</f>
        <v/>
      </c>
      <c r="P143" s="56" t="str">
        <f aca="false">IF(O143="","",O143*(1-Settings!$B$4)-K143)</f>
        <v/>
      </c>
      <c r="Q143" s="61" t="str">
        <f aca="false">IF(OR(O143="",O143=0),"",P143/O143)</f>
        <v/>
      </c>
      <c r="R143" s="52"/>
      <c r="S143" s="65" t="str">
        <f aca="false">IF(OR(B143="",R143="Paid",R143="Lost",R143="Shipped"),"",B143+Settings!$B$8)</f>
        <v/>
      </c>
      <c r="T143" s="10" t="str">
        <f aca="true">IF(OR(B143="",R143="Paid",R143="Lost"),"",TODAY()-B143)</f>
        <v/>
      </c>
      <c r="U143" s="53"/>
      <c r="V143" s="66"/>
    </row>
    <row r="144" customFormat="false" ht="15" hidden="false" customHeight="false" outlineLevel="0" collapsed="false">
      <c r="A144" s="10" t="str">
        <f aca="false">IF(B144="","","Q-"&amp;TEXT(ROW()-4,"000"))</f>
        <v/>
      </c>
      <c r="B144" s="53"/>
      <c r="C144" s="52"/>
      <c r="D144" s="52"/>
      <c r="E144" s="52"/>
      <c r="F144" s="52"/>
      <c r="G144" s="53"/>
      <c r="H144" s="52"/>
      <c r="I144" s="55"/>
      <c r="J144" s="55"/>
      <c r="K144" s="56" t="str">
        <f aca="false">IF(OR(F144="",I144=""),"",F144*I144+N(J144))</f>
        <v/>
      </c>
      <c r="L144" s="61" t="str">
        <f aca="false">IF(K144="","",INDEX(Settings!$B$14:$B$18,MATCH(K144,Settings!$A$14:$A$18,1)))</f>
        <v/>
      </c>
      <c r="M144" s="56" t="str">
        <f aca="false">IF(K144="","",CEILING(MAX(K144*(1+L144),K144+Settings!$B$5)/(1-Settings!$B$4),Settings!$B$6))</f>
        <v/>
      </c>
      <c r="N144" s="55"/>
      <c r="O144" s="56" t="str">
        <f aca="false">IF(K144="","",IF(N144="",M144,N144))</f>
        <v/>
      </c>
      <c r="P144" s="56" t="str">
        <f aca="false">IF(O144="","",O144*(1-Settings!$B$4)-K144)</f>
        <v/>
      </c>
      <c r="Q144" s="61" t="str">
        <f aca="false">IF(OR(O144="",O144=0),"",P144/O144)</f>
        <v/>
      </c>
      <c r="R144" s="52"/>
      <c r="S144" s="65" t="str">
        <f aca="false">IF(OR(B144="",R144="Paid",R144="Lost",R144="Shipped"),"",B144+Settings!$B$8)</f>
        <v/>
      </c>
      <c r="T144" s="10" t="str">
        <f aca="true">IF(OR(B144="",R144="Paid",R144="Lost"),"",TODAY()-B144)</f>
        <v/>
      </c>
      <c r="U144" s="53"/>
      <c r="V144" s="66"/>
    </row>
    <row r="145" customFormat="false" ht="15" hidden="false" customHeight="false" outlineLevel="0" collapsed="false">
      <c r="A145" s="10" t="str">
        <f aca="false">IF(B145="","","Q-"&amp;TEXT(ROW()-4,"000"))</f>
        <v/>
      </c>
      <c r="B145" s="53"/>
      <c r="C145" s="52"/>
      <c r="D145" s="52"/>
      <c r="E145" s="52"/>
      <c r="F145" s="52"/>
      <c r="G145" s="53"/>
      <c r="H145" s="52"/>
      <c r="I145" s="55"/>
      <c r="J145" s="55"/>
      <c r="K145" s="56" t="str">
        <f aca="false">IF(OR(F145="",I145=""),"",F145*I145+N(J145))</f>
        <v/>
      </c>
      <c r="L145" s="61" t="str">
        <f aca="false">IF(K145="","",INDEX(Settings!$B$14:$B$18,MATCH(K145,Settings!$A$14:$A$18,1)))</f>
        <v/>
      </c>
      <c r="M145" s="56" t="str">
        <f aca="false">IF(K145="","",CEILING(MAX(K145*(1+L145),K145+Settings!$B$5)/(1-Settings!$B$4),Settings!$B$6))</f>
        <v/>
      </c>
      <c r="N145" s="55"/>
      <c r="O145" s="56" t="str">
        <f aca="false">IF(K145="","",IF(N145="",M145,N145))</f>
        <v/>
      </c>
      <c r="P145" s="56" t="str">
        <f aca="false">IF(O145="","",O145*(1-Settings!$B$4)-K145)</f>
        <v/>
      </c>
      <c r="Q145" s="61" t="str">
        <f aca="false">IF(OR(O145="",O145=0),"",P145/O145)</f>
        <v/>
      </c>
      <c r="R145" s="52"/>
      <c r="S145" s="65" t="str">
        <f aca="false">IF(OR(B145="",R145="Paid",R145="Lost",R145="Shipped"),"",B145+Settings!$B$8)</f>
        <v/>
      </c>
      <c r="T145" s="10" t="str">
        <f aca="true">IF(OR(B145="",R145="Paid",R145="Lost"),"",TODAY()-B145)</f>
        <v/>
      </c>
      <c r="U145" s="53"/>
      <c r="V145" s="66"/>
    </row>
    <row r="146" customFormat="false" ht="15" hidden="false" customHeight="false" outlineLevel="0" collapsed="false">
      <c r="A146" s="10" t="str">
        <f aca="false">IF(B146="","","Q-"&amp;TEXT(ROW()-4,"000"))</f>
        <v/>
      </c>
      <c r="B146" s="53"/>
      <c r="C146" s="52"/>
      <c r="D146" s="52"/>
      <c r="E146" s="52"/>
      <c r="F146" s="52"/>
      <c r="G146" s="53"/>
      <c r="H146" s="52"/>
      <c r="I146" s="55"/>
      <c r="J146" s="55"/>
      <c r="K146" s="56" t="str">
        <f aca="false">IF(OR(F146="",I146=""),"",F146*I146+N(J146))</f>
        <v/>
      </c>
      <c r="L146" s="61" t="str">
        <f aca="false">IF(K146="","",INDEX(Settings!$B$14:$B$18,MATCH(K146,Settings!$A$14:$A$18,1)))</f>
        <v/>
      </c>
      <c r="M146" s="56" t="str">
        <f aca="false">IF(K146="","",CEILING(MAX(K146*(1+L146),K146+Settings!$B$5)/(1-Settings!$B$4),Settings!$B$6))</f>
        <v/>
      </c>
      <c r="N146" s="55"/>
      <c r="O146" s="56" t="str">
        <f aca="false">IF(K146="","",IF(N146="",M146,N146))</f>
        <v/>
      </c>
      <c r="P146" s="56" t="str">
        <f aca="false">IF(O146="","",O146*(1-Settings!$B$4)-K146)</f>
        <v/>
      </c>
      <c r="Q146" s="61" t="str">
        <f aca="false">IF(OR(O146="",O146=0),"",P146/O146)</f>
        <v/>
      </c>
      <c r="R146" s="52"/>
      <c r="S146" s="65" t="str">
        <f aca="false">IF(OR(B146="",R146="Paid",R146="Lost",R146="Shipped"),"",B146+Settings!$B$8)</f>
        <v/>
      </c>
      <c r="T146" s="10" t="str">
        <f aca="true">IF(OR(B146="",R146="Paid",R146="Lost"),"",TODAY()-B146)</f>
        <v/>
      </c>
      <c r="U146" s="53"/>
      <c r="V146" s="66"/>
    </row>
    <row r="147" customFormat="false" ht="15" hidden="false" customHeight="false" outlineLevel="0" collapsed="false">
      <c r="A147" s="10" t="str">
        <f aca="false">IF(B147="","","Q-"&amp;TEXT(ROW()-4,"000"))</f>
        <v/>
      </c>
      <c r="B147" s="53"/>
      <c r="C147" s="52"/>
      <c r="D147" s="52"/>
      <c r="E147" s="52"/>
      <c r="F147" s="52"/>
      <c r="G147" s="53"/>
      <c r="H147" s="52"/>
      <c r="I147" s="55"/>
      <c r="J147" s="55"/>
      <c r="K147" s="56" t="str">
        <f aca="false">IF(OR(F147="",I147=""),"",F147*I147+N(J147))</f>
        <v/>
      </c>
      <c r="L147" s="61" t="str">
        <f aca="false">IF(K147="","",INDEX(Settings!$B$14:$B$18,MATCH(K147,Settings!$A$14:$A$18,1)))</f>
        <v/>
      </c>
      <c r="M147" s="56" t="str">
        <f aca="false">IF(K147="","",CEILING(MAX(K147*(1+L147),K147+Settings!$B$5)/(1-Settings!$B$4),Settings!$B$6))</f>
        <v/>
      </c>
      <c r="N147" s="55"/>
      <c r="O147" s="56" t="str">
        <f aca="false">IF(K147="","",IF(N147="",M147,N147))</f>
        <v/>
      </c>
      <c r="P147" s="56" t="str">
        <f aca="false">IF(O147="","",O147*(1-Settings!$B$4)-K147)</f>
        <v/>
      </c>
      <c r="Q147" s="61" t="str">
        <f aca="false">IF(OR(O147="",O147=0),"",P147/O147)</f>
        <v/>
      </c>
      <c r="R147" s="52"/>
      <c r="S147" s="65" t="str">
        <f aca="false">IF(OR(B147="",R147="Paid",R147="Lost",R147="Shipped"),"",B147+Settings!$B$8)</f>
        <v/>
      </c>
      <c r="T147" s="10" t="str">
        <f aca="true">IF(OR(B147="",R147="Paid",R147="Lost"),"",TODAY()-B147)</f>
        <v/>
      </c>
      <c r="U147" s="53"/>
      <c r="V147" s="66"/>
    </row>
    <row r="148" customFormat="false" ht="15" hidden="false" customHeight="false" outlineLevel="0" collapsed="false">
      <c r="A148" s="10" t="str">
        <f aca="false">IF(B148="","","Q-"&amp;TEXT(ROW()-4,"000"))</f>
        <v/>
      </c>
      <c r="B148" s="53"/>
      <c r="C148" s="52"/>
      <c r="D148" s="52"/>
      <c r="E148" s="52"/>
      <c r="F148" s="52"/>
      <c r="G148" s="53"/>
      <c r="H148" s="52"/>
      <c r="I148" s="55"/>
      <c r="J148" s="55"/>
      <c r="K148" s="56" t="str">
        <f aca="false">IF(OR(F148="",I148=""),"",F148*I148+N(J148))</f>
        <v/>
      </c>
      <c r="L148" s="61" t="str">
        <f aca="false">IF(K148="","",INDEX(Settings!$B$14:$B$18,MATCH(K148,Settings!$A$14:$A$18,1)))</f>
        <v/>
      </c>
      <c r="M148" s="56" t="str">
        <f aca="false">IF(K148="","",CEILING(MAX(K148*(1+L148),K148+Settings!$B$5)/(1-Settings!$B$4),Settings!$B$6))</f>
        <v/>
      </c>
      <c r="N148" s="55"/>
      <c r="O148" s="56" t="str">
        <f aca="false">IF(K148="","",IF(N148="",M148,N148))</f>
        <v/>
      </c>
      <c r="P148" s="56" t="str">
        <f aca="false">IF(O148="","",O148*(1-Settings!$B$4)-K148)</f>
        <v/>
      </c>
      <c r="Q148" s="61" t="str">
        <f aca="false">IF(OR(O148="",O148=0),"",P148/O148)</f>
        <v/>
      </c>
      <c r="R148" s="52"/>
      <c r="S148" s="65" t="str">
        <f aca="false">IF(OR(B148="",R148="Paid",R148="Lost",R148="Shipped"),"",B148+Settings!$B$8)</f>
        <v/>
      </c>
      <c r="T148" s="10" t="str">
        <f aca="true">IF(OR(B148="",R148="Paid",R148="Lost"),"",TODAY()-B148)</f>
        <v/>
      </c>
      <c r="U148" s="53"/>
      <c r="V148" s="66"/>
    </row>
    <row r="149" customFormat="false" ht="15" hidden="false" customHeight="false" outlineLevel="0" collapsed="false">
      <c r="A149" s="10" t="str">
        <f aca="false">IF(B149="","","Q-"&amp;TEXT(ROW()-4,"000"))</f>
        <v/>
      </c>
      <c r="B149" s="53"/>
      <c r="C149" s="52"/>
      <c r="D149" s="52"/>
      <c r="E149" s="52"/>
      <c r="F149" s="52"/>
      <c r="G149" s="53"/>
      <c r="H149" s="52"/>
      <c r="I149" s="55"/>
      <c r="J149" s="55"/>
      <c r="K149" s="56" t="str">
        <f aca="false">IF(OR(F149="",I149=""),"",F149*I149+N(J149))</f>
        <v/>
      </c>
      <c r="L149" s="61" t="str">
        <f aca="false">IF(K149="","",INDEX(Settings!$B$14:$B$18,MATCH(K149,Settings!$A$14:$A$18,1)))</f>
        <v/>
      </c>
      <c r="M149" s="56" t="str">
        <f aca="false">IF(K149="","",CEILING(MAX(K149*(1+L149),K149+Settings!$B$5)/(1-Settings!$B$4),Settings!$B$6))</f>
        <v/>
      </c>
      <c r="N149" s="55"/>
      <c r="O149" s="56" t="str">
        <f aca="false">IF(K149="","",IF(N149="",M149,N149))</f>
        <v/>
      </c>
      <c r="P149" s="56" t="str">
        <f aca="false">IF(O149="","",O149*(1-Settings!$B$4)-K149)</f>
        <v/>
      </c>
      <c r="Q149" s="61" t="str">
        <f aca="false">IF(OR(O149="",O149=0),"",P149/O149)</f>
        <v/>
      </c>
      <c r="R149" s="52"/>
      <c r="S149" s="65" t="str">
        <f aca="false">IF(OR(B149="",R149="Paid",R149="Lost",R149="Shipped"),"",B149+Settings!$B$8)</f>
        <v/>
      </c>
      <c r="T149" s="10" t="str">
        <f aca="true">IF(OR(B149="",R149="Paid",R149="Lost"),"",TODAY()-B149)</f>
        <v/>
      </c>
      <c r="U149" s="53"/>
      <c r="V149" s="66"/>
    </row>
    <row r="150" customFormat="false" ht="15" hidden="false" customHeight="false" outlineLevel="0" collapsed="false">
      <c r="A150" s="10" t="str">
        <f aca="false">IF(B150="","","Q-"&amp;TEXT(ROW()-4,"000"))</f>
        <v/>
      </c>
      <c r="B150" s="53"/>
      <c r="C150" s="52"/>
      <c r="D150" s="52"/>
      <c r="E150" s="52"/>
      <c r="F150" s="52"/>
      <c r="G150" s="53"/>
      <c r="H150" s="52"/>
      <c r="I150" s="55"/>
      <c r="J150" s="55"/>
      <c r="K150" s="56" t="str">
        <f aca="false">IF(OR(F150="",I150=""),"",F150*I150+N(J150))</f>
        <v/>
      </c>
      <c r="L150" s="61" t="str">
        <f aca="false">IF(K150="","",INDEX(Settings!$B$14:$B$18,MATCH(K150,Settings!$A$14:$A$18,1)))</f>
        <v/>
      </c>
      <c r="M150" s="56" t="str">
        <f aca="false">IF(K150="","",CEILING(MAX(K150*(1+L150),K150+Settings!$B$5)/(1-Settings!$B$4),Settings!$B$6))</f>
        <v/>
      </c>
      <c r="N150" s="55"/>
      <c r="O150" s="56" t="str">
        <f aca="false">IF(K150="","",IF(N150="",M150,N150))</f>
        <v/>
      </c>
      <c r="P150" s="56" t="str">
        <f aca="false">IF(O150="","",O150*(1-Settings!$B$4)-K150)</f>
        <v/>
      </c>
      <c r="Q150" s="61" t="str">
        <f aca="false">IF(OR(O150="",O150=0),"",P150/O150)</f>
        <v/>
      </c>
      <c r="R150" s="52"/>
      <c r="S150" s="65" t="str">
        <f aca="false">IF(OR(B150="",R150="Paid",R150="Lost",R150="Shipped"),"",B150+Settings!$B$8)</f>
        <v/>
      </c>
      <c r="T150" s="10" t="str">
        <f aca="true">IF(OR(B150="",R150="Paid",R150="Lost"),"",TODAY()-B150)</f>
        <v/>
      </c>
      <c r="U150" s="53"/>
      <c r="V150" s="66"/>
    </row>
    <row r="151" customFormat="false" ht="15" hidden="false" customHeight="false" outlineLevel="0" collapsed="false">
      <c r="A151" s="10" t="str">
        <f aca="false">IF(B151="","","Q-"&amp;TEXT(ROW()-4,"000"))</f>
        <v/>
      </c>
      <c r="B151" s="53"/>
      <c r="C151" s="52"/>
      <c r="D151" s="52"/>
      <c r="E151" s="52"/>
      <c r="F151" s="52"/>
      <c r="G151" s="53"/>
      <c r="H151" s="52"/>
      <c r="I151" s="55"/>
      <c r="J151" s="55"/>
      <c r="K151" s="56" t="str">
        <f aca="false">IF(OR(F151="",I151=""),"",F151*I151+N(J151))</f>
        <v/>
      </c>
      <c r="L151" s="61" t="str">
        <f aca="false">IF(K151="","",INDEX(Settings!$B$14:$B$18,MATCH(K151,Settings!$A$14:$A$18,1)))</f>
        <v/>
      </c>
      <c r="M151" s="56" t="str">
        <f aca="false">IF(K151="","",CEILING(MAX(K151*(1+L151),K151+Settings!$B$5)/(1-Settings!$B$4),Settings!$B$6))</f>
        <v/>
      </c>
      <c r="N151" s="55"/>
      <c r="O151" s="56" t="str">
        <f aca="false">IF(K151="","",IF(N151="",M151,N151))</f>
        <v/>
      </c>
      <c r="P151" s="56" t="str">
        <f aca="false">IF(O151="","",O151*(1-Settings!$B$4)-K151)</f>
        <v/>
      </c>
      <c r="Q151" s="61" t="str">
        <f aca="false">IF(OR(O151="",O151=0),"",P151/O151)</f>
        <v/>
      </c>
      <c r="R151" s="52"/>
      <c r="S151" s="65" t="str">
        <f aca="false">IF(OR(B151="",R151="Paid",R151="Lost",R151="Shipped"),"",B151+Settings!$B$8)</f>
        <v/>
      </c>
      <c r="T151" s="10" t="str">
        <f aca="true">IF(OR(B151="",R151="Paid",R151="Lost"),"",TODAY()-B151)</f>
        <v/>
      </c>
      <c r="U151" s="53"/>
      <c r="V151" s="66"/>
    </row>
    <row r="152" customFormat="false" ht="15" hidden="false" customHeight="false" outlineLevel="0" collapsed="false">
      <c r="A152" s="10" t="str">
        <f aca="false">IF(B152="","","Q-"&amp;TEXT(ROW()-4,"000"))</f>
        <v/>
      </c>
      <c r="B152" s="53"/>
      <c r="C152" s="52"/>
      <c r="D152" s="52"/>
      <c r="E152" s="52"/>
      <c r="F152" s="52"/>
      <c r="G152" s="53"/>
      <c r="H152" s="52"/>
      <c r="I152" s="55"/>
      <c r="J152" s="55"/>
      <c r="K152" s="56" t="str">
        <f aca="false">IF(OR(F152="",I152=""),"",F152*I152+N(J152))</f>
        <v/>
      </c>
      <c r="L152" s="61" t="str">
        <f aca="false">IF(K152="","",INDEX(Settings!$B$14:$B$18,MATCH(K152,Settings!$A$14:$A$18,1)))</f>
        <v/>
      </c>
      <c r="M152" s="56" t="str">
        <f aca="false">IF(K152="","",CEILING(MAX(K152*(1+L152),K152+Settings!$B$5)/(1-Settings!$B$4),Settings!$B$6))</f>
        <v/>
      </c>
      <c r="N152" s="55"/>
      <c r="O152" s="56" t="str">
        <f aca="false">IF(K152="","",IF(N152="",M152,N152))</f>
        <v/>
      </c>
      <c r="P152" s="56" t="str">
        <f aca="false">IF(O152="","",O152*(1-Settings!$B$4)-K152)</f>
        <v/>
      </c>
      <c r="Q152" s="61" t="str">
        <f aca="false">IF(OR(O152="",O152=0),"",P152/O152)</f>
        <v/>
      </c>
      <c r="R152" s="52"/>
      <c r="S152" s="65" t="str">
        <f aca="false">IF(OR(B152="",R152="Paid",R152="Lost",R152="Shipped"),"",B152+Settings!$B$8)</f>
        <v/>
      </c>
      <c r="T152" s="10" t="str">
        <f aca="true">IF(OR(B152="",R152="Paid",R152="Lost"),"",TODAY()-B152)</f>
        <v/>
      </c>
      <c r="U152" s="53"/>
      <c r="V152" s="66"/>
    </row>
    <row r="153" customFormat="false" ht="15" hidden="false" customHeight="false" outlineLevel="0" collapsed="false">
      <c r="A153" s="10" t="str">
        <f aca="false">IF(B153="","","Q-"&amp;TEXT(ROW()-4,"000"))</f>
        <v/>
      </c>
      <c r="B153" s="53"/>
      <c r="C153" s="52"/>
      <c r="D153" s="52"/>
      <c r="E153" s="52"/>
      <c r="F153" s="52"/>
      <c r="G153" s="53"/>
      <c r="H153" s="52"/>
      <c r="I153" s="55"/>
      <c r="J153" s="55"/>
      <c r="K153" s="56" t="str">
        <f aca="false">IF(OR(F153="",I153=""),"",F153*I153+N(J153))</f>
        <v/>
      </c>
      <c r="L153" s="61" t="str">
        <f aca="false">IF(K153="","",INDEX(Settings!$B$14:$B$18,MATCH(K153,Settings!$A$14:$A$18,1)))</f>
        <v/>
      </c>
      <c r="M153" s="56" t="str">
        <f aca="false">IF(K153="","",CEILING(MAX(K153*(1+L153),K153+Settings!$B$5)/(1-Settings!$B$4),Settings!$B$6))</f>
        <v/>
      </c>
      <c r="N153" s="55"/>
      <c r="O153" s="56" t="str">
        <f aca="false">IF(K153="","",IF(N153="",M153,N153))</f>
        <v/>
      </c>
      <c r="P153" s="56" t="str">
        <f aca="false">IF(O153="","",O153*(1-Settings!$B$4)-K153)</f>
        <v/>
      </c>
      <c r="Q153" s="61" t="str">
        <f aca="false">IF(OR(O153="",O153=0),"",P153/O153)</f>
        <v/>
      </c>
      <c r="R153" s="52"/>
      <c r="S153" s="65" t="str">
        <f aca="false">IF(OR(B153="",R153="Paid",R153="Lost",R153="Shipped"),"",B153+Settings!$B$8)</f>
        <v/>
      </c>
      <c r="T153" s="10" t="str">
        <f aca="true">IF(OR(B153="",R153="Paid",R153="Lost"),"",TODAY()-B153)</f>
        <v/>
      </c>
      <c r="U153" s="53"/>
      <c r="V153" s="66"/>
    </row>
    <row r="154" customFormat="false" ht="15" hidden="false" customHeight="false" outlineLevel="0" collapsed="false">
      <c r="A154" s="10" t="str">
        <f aca="false">IF(B154="","","Q-"&amp;TEXT(ROW()-4,"000"))</f>
        <v/>
      </c>
      <c r="B154" s="53"/>
      <c r="C154" s="52"/>
      <c r="D154" s="52"/>
      <c r="E154" s="52"/>
      <c r="F154" s="52"/>
      <c r="G154" s="53"/>
      <c r="H154" s="52"/>
      <c r="I154" s="55"/>
      <c r="J154" s="55"/>
      <c r="K154" s="56" t="str">
        <f aca="false">IF(OR(F154="",I154=""),"",F154*I154+N(J154))</f>
        <v/>
      </c>
      <c r="L154" s="61" t="str">
        <f aca="false">IF(K154="","",INDEX(Settings!$B$14:$B$18,MATCH(K154,Settings!$A$14:$A$18,1)))</f>
        <v/>
      </c>
      <c r="M154" s="56" t="str">
        <f aca="false">IF(K154="","",CEILING(MAX(K154*(1+L154),K154+Settings!$B$5)/(1-Settings!$B$4),Settings!$B$6))</f>
        <v/>
      </c>
      <c r="N154" s="55"/>
      <c r="O154" s="56" t="str">
        <f aca="false">IF(K154="","",IF(N154="",M154,N154))</f>
        <v/>
      </c>
      <c r="P154" s="56" t="str">
        <f aca="false">IF(O154="","",O154*(1-Settings!$B$4)-K154)</f>
        <v/>
      </c>
      <c r="Q154" s="61" t="str">
        <f aca="false">IF(OR(O154="",O154=0),"",P154/O154)</f>
        <v/>
      </c>
      <c r="R154" s="52"/>
      <c r="S154" s="65" t="str">
        <f aca="false">IF(OR(B154="",R154="Paid",R154="Lost",R154="Shipped"),"",B154+Settings!$B$8)</f>
        <v/>
      </c>
      <c r="T154" s="10" t="str">
        <f aca="true">IF(OR(B154="",R154="Paid",R154="Lost"),"",TODAY()-B154)</f>
        <v/>
      </c>
      <c r="U154" s="53"/>
      <c r="V154" s="66"/>
    </row>
    <row r="155" customFormat="false" ht="15" hidden="false" customHeight="false" outlineLevel="0" collapsed="false">
      <c r="A155" s="10" t="str">
        <f aca="false">IF(B155="","","Q-"&amp;TEXT(ROW()-4,"000"))</f>
        <v/>
      </c>
      <c r="B155" s="53"/>
      <c r="C155" s="52"/>
      <c r="D155" s="52"/>
      <c r="E155" s="52"/>
      <c r="F155" s="52"/>
      <c r="G155" s="53"/>
      <c r="H155" s="52"/>
      <c r="I155" s="55"/>
      <c r="J155" s="55"/>
      <c r="K155" s="56" t="str">
        <f aca="false">IF(OR(F155="",I155=""),"",F155*I155+N(J155))</f>
        <v/>
      </c>
      <c r="L155" s="61" t="str">
        <f aca="false">IF(K155="","",INDEX(Settings!$B$14:$B$18,MATCH(K155,Settings!$A$14:$A$18,1)))</f>
        <v/>
      </c>
      <c r="M155" s="56" t="str">
        <f aca="false">IF(K155="","",CEILING(MAX(K155*(1+L155),K155+Settings!$B$5)/(1-Settings!$B$4),Settings!$B$6))</f>
        <v/>
      </c>
      <c r="N155" s="55"/>
      <c r="O155" s="56" t="str">
        <f aca="false">IF(K155="","",IF(N155="",M155,N155))</f>
        <v/>
      </c>
      <c r="P155" s="56" t="str">
        <f aca="false">IF(O155="","",O155*(1-Settings!$B$4)-K155)</f>
        <v/>
      </c>
      <c r="Q155" s="61" t="str">
        <f aca="false">IF(OR(O155="",O155=0),"",P155/O155)</f>
        <v/>
      </c>
      <c r="R155" s="52"/>
      <c r="S155" s="65" t="str">
        <f aca="false">IF(OR(B155="",R155="Paid",R155="Lost",R155="Shipped"),"",B155+Settings!$B$8)</f>
        <v/>
      </c>
      <c r="T155" s="10" t="str">
        <f aca="true">IF(OR(B155="",R155="Paid",R155="Lost"),"",TODAY()-B155)</f>
        <v/>
      </c>
      <c r="U155" s="53"/>
      <c r="V155" s="66"/>
    </row>
    <row r="156" customFormat="false" ht="15" hidden="false" customHeight="false" outlineLevel="0" collapsed="false">
      <c r="A156" s="10" t="str">
        <f aca="false">IF(B156="","","Q-"&amp;TEXT(ROW()-4,"000"))</f>
        <v/>
      </c>
      <c r="B156" s="53"/>
      <c r="C156" s="52"/>
      <c r="D156" s="52"/>
      <c r="E156" s="52"/>
      <c r="F156" s="52"/>
      <c r="G156" s="53"/>
      <c r="H156" s="52"/>
      <c r="I156" s="55"/>
      <c r="J156" s="55"/>
      <c r="K156" s="56" t="str">
        <f aca="false">IF(OR(F156="",I156=""),"",F156*I156+N(J156))</f>
        <v/>
      </c>
      <c r="L156" s="61" t="str">
        <f aca="false">IF(K156="","",INDEX(Settings!$B$14:$B$18,MATCH(K156,Settings!$A$14:$A$18,1)))</f>
        <v/>
      </c>
      <c r="M156" s="56" t="str">
        <f aca="false">IF(K156="","",CEILING(MAX(K156*(1+L156),K156+Settings!$B$5)/(1-Settings!$B$4),Settings!$B$6))</f>
        <v/>
      </c>
      <c r="N156" s="55"/>
      <c r="O156" s="56" t="str">
        <f aca="false">IF(K156="","",IF(N156="",M156,N156))</f>
        <v/>
      </c>
      <c r="P156" s="56" t="str">
        <f aca="false">IF(O156="","",O156*(1-Settings!$B$4)-K156)</f>
        <v/>
      </c>
      <c r="Q156" s="61" t="str">
        <f aca="false">IF(OR(O156="",O156=0),"",P156/O156)</f>
        <v/>
      </c>
      <c r="R156" s="52"/>
      <c r="S156" s="65" t="str">
        <f aca="false">IF(OR(B156="",R156="Paid",R156="Lost",R156="Shipped"),"",B156+Settings!$B$8)</f>
        <v/>
      </c>
      <c r="T156" s="10" t="str">
        <f aca="true">IF(OR(B156="",R156="Paid",R156="Lost"),"",TODAY()-B156)</f>
        <v/>
      </c>
      <c r="U156" s="53"/>
      <c r="V156" s="66"/>
    </row>
    <row r="157" customFormat="false" ht="15" hidden="false" customHeight="false" outlineLevel="0" collapsed="false">
      <c r="A157" s="10" t="str">
        <f aca="false">IF(B157="","","Q-"&amp;TEXT(ROW()-4,"000"))</f>
        <v/>
      </c>
      <c r="B157" s="53"/>
      <c r="C157" s="52"/>
      <c r="D157" s="52"/>
      <c r="E157" s="52"/>
      <c r="F157" s="52"/>
      <c r="G157" s="53"/>
      <c r="H157" s="52"/>
      <c r="I157" s="55"/>
      <c r="J157" s="55"/>
      <c r="K157" s="56" t="str">
        <f aca="false">IF(OR(F157="",I157=""),"",F157*I157+N(J157))</f>
        <v/>
      </c>
      <c r="L157" s="61" t="str">
        <f aca="false">IF(K157="","",INDEX(Settings!$B$14:$B$18,MATCH(K157,Settings!$A$14:$A$18,1)))</f>
        <v/>
      </c>
      <c r="M157" s="56" t="str">
        <f aca="false">IF(K157="","",CEILING(MAX(K157*(1+L157),K157+Settings!$B$5)/(1-Settings!$B$4),Settings!$B$6))</f>
        <v/>
      </c>
      <c r="N157" s="55"/>
      <c r="O157" s="56" t="str">
        <f aca="false">IF(K157="","",IF(N157="",M157,N157))</f>
        <v/>
      </c>
      <c r="P157" s="56" t="str">
        <f aca="false">IF(O157="","",O157*(1-Settings!$B$4)-K157)</f>
        <v/>
      </c>
      <c r="Q157" s="61" t="str">
        <f aca="false">IF(OR(O157="",O157=0),"",P157/O157)</f>
        <v/>
      </c>
      <c r="R157" s="52"/>
      <c r="S157" s="65" t="str">
        <f aca="false">IF(OR(B157="",R157="Paid",R157="Lost",R157="Shipped"),"",B157+Settings!$B$8)</f>
        <v/>
      </c>
      <c r="T157" s="10" t="str">
        <f aca="true">IF(OR(B157="",R157="Paid",R157="Lost"),"",TODAY()-B157)</f>
        <v/>
      </c>
      <c r="U157" s="53"/>
      <c r="V157" s="66"/>
    </row>
    <row r="158" customFormat="false" ht="15" hidden="false" customHeight="false" outlineLevel="0" collapsed="false">
      <c r="A158" s="10" t="str">
        <f aca="false">IF(B158="","","Q-"&amp;TEXT(ROW()-4,"000"))</f>
        <v/>
      </c>
      <c r="B158" s="53"/>
      <c r="C158" s="52"/>
      <c r="D158" s="52"/>
      <c r="E158" s="52"/>
      <c r="F158" s="52"/>
      <c r="G158" s="53"/>
      <c r="H158" s="52"/>
      <c r="I158" s="55"/>
      <c r="J158" s="55"/>
      <c r="K158" s="56" t="str">
        <f aca="false">IF(OR(F158="",I158=""),"",F158*I158+N(J158))</f>
        <v/>
      </c>
      <c r="L158" s="61" t="str">
        <f aca="false">IF(K158="","",INDEX(Settings!$B$14:$B$18,MATCH(K158,Settings!$A$14:$A$18,1)))</f>
        <v/>
      </c>
      <c r="M158" s="56" t="str">
        <f aca="false">IF(K158="","",CEILING(MAX(K158*(1+L158),K158+Settings!$B$5)/(1-Settings!$B$4),Settings!$B$6))</f>
        <v/>
      </c>
      <c r="N158" s="55"/>
      <c r="O158" s="56" t="str">
        <f aca="false">IF(K158="","",IF(N158="",M158,N158))</f>
        <v/>
      </c>
      <c r="P158" s="56" t="str">
        <f aca="false">IF(O158="","",O158*(1-Settings!$B$4)-K158)</f>
        <v/>
      </c>
      <c r="Q158" s="61" t="str">
        <f aca="false">IF(OR(O158="",O158=0),"",P158/O158)</f>
        <v/>
      </c>
      <c r="R158" s="52"/>
      <c r="S158" s="65" t="str">
        <f aca="false">IF(OR(B158="",R158="Paid",R158="Lost",R158="Shipped"),"",B158+Settings!$B$8)</f>
        <v/>
      </c>
      <c r="T158" s="10" t="str">
        <f aca="true">IF(OR(B158="",R158="Paid",R158="Lost"),"",TODAY()-B158)</f>
        <v/>
      </c>
      <c r="U158" s="53"/>
      <c r="V158" s="66"/>
    </row>
    <row r="159" customFormat="false" ht="15" hidden="false" customHeight="false" outlineLevel="0" collapsed="false">
      <c r="A159" s="10" t="str">
        <f aca="false">IF(B159="","","Q-"&amp;TEXT(ROW()-4,"000"))</f>
        <v/>
      </c>
      <c r="B159" s="53"/>
      <c r="C159" s="52"/>
      <c r="D159" s="52"/>
      <c r="E159" s="52"/>
      <c r="F159" s="52"/>
      <c r="G159" s="53"/>
      <c r="H159" s="52"/>
      <c r="I159" s="55"/>
      <c r="J159" s="55"/>
      <c r="K159" s="56" t="str">
        <f aca="false">IF(OR(F159="",I159=""),"",F159*I159+N(J159))</f>
        <v/>
      </c>
      <c r="L159" s="61" t="str">
        <f aca="false">IF(K159="","",INDEX(Settings!$B$14:$B$18,MATCH(K159,Settings!$A$14:$A$18,1)))</f>
        <v/>
      </c>
      <c r="M159" s="56" t="str">
        <f aca="false">IF(K159="","",CEILING(MAX(K159*(1+L159),K159+Settings!$B$5)/(1-Settings!$B$4),Settings!$B$6))</f>
        <v/>
      </c>
      <c r="N159" s="55"/>
      <c r="O159" s="56" t="str">
        <f aca="false">IF(K159="","",IF(N159="",M159,N159))</f>
        <v/>
      </c>
      <c r="P159" s="56" t="str">
        <f aca="false">IF(O159="","",O159*(1-Settings!$B$4)-K159)</f>
        <v/>
      </c>
      <c r="Q159" s="61" t="str">
        <f aca="false">IF(OR(O159="",O159=0),"",P159/O159)</f>
        <v/>
      </c>
      <c r="R159" s="52"/>
      <c r="S159" s="65" t="str">
        <f aca="false">IF(OR(B159="",R159="Paid",R159="Lost",R159="Shipped"),"",B159+Settings!$B$8)</f>
        <v/>
      </c>
      <c r="T159" s="10" t="str">
        <f aca="true">IF(OR(B159="",R159="Paid",R159="Lost"),"",TODAY()-B159)</f>
        <v/>
      </c>
      <c r="U159" s="53"/>
      <c r="V159" s="66"/>
    </row>
    <row r="160" customFormat="false" ht="15" hidden="false" customHeight="false" outlineLevel="0" collapsed="false">
      <c r="A160" s="10" t="str">
        <f aca="false">IF(B160="","","Q-"&amp;TEXT(ROW()-4,"000"))</f>
        <v/>
      </c>
      <c r="B160" s="53"/>
      <c r="C160" s="52"/>
      <c r="D160" s="52"/>
      <c r="E160" s="52"/>
      <c r="F160" s="52"/>
      <c r="G160" s="53"/>
      <c r="H160" s="52"/>
      <c r="I160" s="55"/>
      <c r="J160" s="55"/>
      <c r="K160" s="56" t="str">
        <f aca="false">IF(OR(F160="",I160=""),"",F160*I160+N(J160))</f>
        <v/>
      </c>
      <c r="L160" s="61" t="str">
        <f aca="false">IF(K160="","",INDEX(Settings!$B$14:$B$18,MATCH(K160,Settings!$A$14:$A$18,1)))</f>
        <v/>
      </c>
      <c r="M160" s="56" t="str">
        <f aca="false">IF(K160="","",CEILING(MAX(K160*(1+L160),K160+Settings!$B$5)/(1-Settings!$B$4),Settings!$B$6))</f>
        <v/>
      </c>
      <c r="N160" s="55"/>
      <c r="O160" s="56" t="str">
        <f aca="false">IF(K160="","",IF(N160="",M160,N160))</f>
        <v/>
      </c>
      <c r="P160" s="56" t="str">
        <f aca="false">IF(O160="","",O160*(1-Settings!$B$4)-K160)</f>
        <v/>
      </c>
      <c r="Q160" s="61" t="str">
        <f aca="false">IF(OR(O160="",O160=0),"",P160/O160)</f>
        <v/>
      </c>
      <c r="R160" s="52"/>
      <c r="S160" s="65" t="str">
        <f aca="false">IF(OR(B160="",R160="Paid",R160="Lost",R160="Shipped"),"",B160+Settings!$B$8)</f>
        <v/>
      </c>
      <c r="T160" s="10" t="str">
        <f aca="true">IF(OR(B160="",R160="Paid",R160="Lost"),"",TODAY()-B160)</f>
        <v/>
      </c>
      <c r="U160" s="53"/>
      <c r="V160" s="66"/>
    </row>
    <row r="161" customFormat="false" ht="15" hidden="false" customHeight="false" outlineLevel="0" collapsed="false">
      <c r="A161" s="10" t="str">
        <f aca="false">IF(B161="","","Q-"&amp;TEXT(ROW()-4,"000"))</f>
        <v/>
      </c>
      <c r="B161" s="53"/>
      <c r="C161" s="52"/>
      <c r="D161" s="52"/>
      <c r="E161" s="52"/>
      <c r="F161" s="52"/>
      <c r="G161" s="53"/>
      <c r="H161" s="52"/>
      <c r="I161" s="55"/>
      <c r="J161" s="55"/>
      <c r="K161" s="56" t="str">
        <f aca="false">IF(OR(F161="",I161=""),"",F161*I161+N(J161))</f>
        <v/>
      </c>
      <c r="L161" s="61" t="str">
        <f aca="false">IF(K161="","",INDEX(Settings!$B$14:$B$18,MATCH(K161,Settings!$A$14:$A$18,1)))</f>
        <v/>
      </c>
      <c r="M161" s="56" t="str">
        <f aca="false">IF(K161="","",CEILING(MAX(K161*(1+L161),K161+Settings!$B$5)/(1-Settings!$B$4),Settings!$B$6))</f>
        <v/>
      </c>
      <c r="N161" s="55"/>
      <c r="O161" s="56" t="str">
        <f aca="false">IF(K161="","",IF(N161="",M161,N161))</f>
        <v/>
      </c>
      <c r="P161" s="56" t="str">
        <f aca="false">IF(O161="","",O161*(1-Settings!$B$4)-K161)</f>
        <v/>
      </c>
      <c r="Q161" s="61" t="str">
        <f aca="false">IF(OR(O161="",O161=0),"",P161/O161)</f>
        <v/>
      </c>
      <c r="R161" s="52"/>
      <c r="S161" s="65" t="str">
        <f aca="false">IF(OR(B161="",R161="Paid",R161="Lost",R161="Shipped"),"",B161+Settings!$B$8)</f>
        <v/>
      </c>
      <c r="T161" s="10" t="str">
        <f aca="true">IF(OR(B161="",R161="Paid",R161="Lost"),"",TODAY()-B161)</f>
        <v/>
      </c>
      <c r="U161" s="53"/>
      <c r="V161" s="66"/>
    </row>
    <row r="162" customFormat="false" ht="15" hidden="false" customHeight="false" outlineLevel="0" collapsed="false">
      <c r="A162" s="10" t="str">
        <f aca="false">IF(B162="","","Q-"&amp;TEXT(ROW()-4,"000"))</f>
        <v/>
      </c>
      <c r="B162" s="53"/>
      <c r="C162" s="52"/>
      <c r="D162" s="52"/>
      <c r="E162" s="52"/>
      <c r="F162" s="52"/>
      <c r="G162" s="53"/>
      <c r="H162" s="52"/>
      <c r="I162" s="55"/>
      <c r="J162" s="55"/>
      <c r="K162" s="56" t="str">
        <f aca="false">IF(OR(F162="",I162=""),"",F162*I162+N(J162))</f>
        <v/>
      </c>
      <c r="L162" s="61" t="str">
        <f aca="false">IF(K162="","",INDEX(Settings!$B$14:$B$18,MATCH(K162,Settings!$A$14:$A$18,1)))</f>
        <v/>
      </c>
      <c r="M162" s="56" t="str">
        <f aca="false">IF(K162="","",CEILING(MAX(K162*(1+L162),K162+Settings!$B$5)/(1-Settings!$B$4),Settings!$B$6))</f>
        <v/>
      </c>
      <c r="N162" s="55"/>
      <c r="O162" s="56" t="str">
        <f aca="false">IF(K162="","",IF(N162="",M162,N162))</f>
        <v/>
      </c>
      <c r="P162" s="56" t="str">
        <f aca="false">IF(O162="","",O162*(1-Settings!$B$4)-K162)</f>
        <v/>
      </c>
      <c r="Q162" s="61" t="str">
        <f aca="false">IF(OR(O162="",O162=0),"",P162/O162)</f>
        <v/>
      </c>
      <c r="R162" s="52"/>
      <c r="S162" s="65" t="str">
        <f aca="false">IF(OR(B162="",R162="Paid",R162="Lost",R162="Shipped"),"",B162+Settings!$B$8)</f>
        <v/>
      </c>
      <c r="T162" s="10" t="str">
        <f aca="true">IF(OR(B162="",R162="Paid",R162="Lost"),"",TODAY()-B162)</f>
        <v/>
      </c>
      <c r="U162" s="53"/>
      <c r="V162" s="66"/>
    </row>
    <row r="163" customFormat="false" ht="15" hidden="false" customHeight="false" outlineLevel="0" collapsed="false">
      <c r="A163" s="10" t="str">
        <f aca="false">IF(B163="","","Q-"&amp;TEXT(ROW()-4,"000"))</f>
        <v/>
      </c>
      <c r="B163" s="53"/>
      <c r="C163" s="52"/>
      <c r="D163" s="52"/>
      <c r="E163" s="52"/>
      <c r="F163" s="52"/>
      <c r="G163" s="53"/>
      <c r="H163" s="52"/>
      <c r="I163" s="55"/>
      <c r="J163" s="55"/>
      <c r="K163" s="56" t="str">
        <f aca="false">IF(OR(F163="",I163=""),"",F163*I163+N(J163))</f>
        <v/>
      </c>
      <c r="L163" s="61" t="str">
        <f aca="false">IF(K163="","",INDEX(Settings!$B$14:$B$18,MATCH(K163,Settings!$A$14:$A$18,1)))</f>
        <v/>
      </c>
      <c r="M163" s="56" t="str">
        <f aca="false">IF(K163="","",CEILING(MAX(K163*(1+L163),K163+Settings!$B$5)/(1-Settings!$B$4),Settings!$B$6))</f>
        <v/>
      </c>
      <c r="N163" s="55"/>
      <c r="O163" s="56" t="str">
        <f aca="false">IF(K163="","",IF(N163="",M163,N163))</f>
        <v/>
      </c>
      <c r="P163" s="56" t="str">
        <f aca="false">IF(O163="","",O163*(1-Settings!$B$4)-K163)</f>
        <v/>
      </c>
      <c r="Q163" s="61" t="str">
        <f aca="false">IF(OR(O163="",O163=0),"",P163/O163)</f>
        <v/>
      </c>
      <c r="R163" s="52"/>
      <c r="S163" s="65" t="str">
        <f aca="false">IF(OR(B163="",R163="Paid",R163="Lost",R163="Shipped"),"",B163+Settings!$B$8)</f>
        <v/>
      </c>
      <c r="T163" s="10" t="str">
        <f aca="true">IF(OR(B163="",R163="Paid",R163="Lost"),"",TODAY()-B163)</f>
        <v/>
      </c>
      <c r="U163" s="53"/>
      <c r="V163" s="66"/>
    </row>
    <row r="164" customFormat="false" ht="15" hidden="false" customHeight="false" outlineLevel="0" collapsed="false">
      <c r="A164" s="10" t="str">
        <f aca="false">IF(B164="","","Q-"&amp;TEXT(ROW()-4,"000"))</f>
        <v/>
      </c>
      <c r="B164" s="53"/>
      <c r="C164" s="52"/>
      <c r="D164" s="52"/>
      <c r="E164" s="52"/>
      <c r="F164" s="52"/>
      <c r="G164" s="53"/>
      <c r="H164" s="52"/>
      <c r="I164" s="55"/>
      <c r="J164" s="55"/>
      <c r="K164" s="56" t="str">
        <f aca="false">IF(OR(F164="",I164=""),"",F164*I164+N(J164))</f>
        <v/>
      </c>
      <c r="L164" s="61" t="str">
        <f aca="false">IF(K164="","",INDEX(Settings!$B$14:$B$18,MATCH(K164,Settings!$A$14:$A$18,1)))</f>
        <v/>
      </c>
      <c r="M164" s="56" t="str">
        <f aca="false">IF(K164="","",CEILING(MAX(K164*(1+L164),K164+Settings!$B$5)/(1-Settings!$B$4),Settings!$B$6))</f>
        <v/>
      </c>
      <c r="N164" s="55"/>
      <c r="O164" s="56" t="str">
        <f aca="false">IF(K164="","",IF(N164="",M164,N164))</f>
        <v/>
      </c>
      <c r="P164" s="56" t="str">
        <f aca="false">IF(O164="","",O164*(1-Settings!$B$4)-K164)</f>
        <v/>
      </c>
      <c r="Q164" s="61" t="str">
        <f aca="false">IF(OR(O164="",O164=0),"",P164/O164)</f>
        <v/>
      </c>
      <c r="R164" s="52"/>
      <c r="S164" s="65" t="str">
        <f aca="false">IF(OR(B164="",R164="Paid",R164="Lost",R164="Shipped"),"",B164+Settings!$B$8)</f>
        <v/>
      </c>
      <c r="T164" s="10" t="str">
        <f aca="true">IF(OR(B164="",R164="Paid",R164="Lost"),"",TODAY()-B164)</f>
        <v/>
      </c>
      <c r="U164" s="53"/>
      <c r="V164" s="66"/>
    </row>
    <row r="165" customFormat="false" ht="15" hidden="false" customHeight="false" outlineLevel="0" collapsed="false">
      <c r="A165" s="10" t="str">
        <f aca="false">IF(B165="","","Q-"&amp;TEXT(ROW()-4,"000"))</f>
        <v/>
      </c>
      <c r="B165" s="53"/>
      <c r="C165" s="52"/>
      <c r="D165" s="52"/>
      <c r="E165" s="52"/>
      <c r="F165" s="52"/>
      <c r="G165" s="53"/>
      <c r="H165" s="52"/>
      <c r="I165" s="55"/>
      <c r="J165" s="55"/>
      <c r="K165" s="56" t="str">
        <f aca="false">IF(OR(F165="",I165=""),"",F165*I165+N(J165))</f>
        <v/>
      </c>
      <c r="L165" s="61" t="str">
        <f aca="false">IF(K165="","",INDEX(Settings!$B$14:$B$18,MATCH(K165,Settings!$A$14:$A$18,1)))</f>
        <v/>
      </c>
      <c r="M165" s="56" t="str">
        <f aca="false">IF(K165="","",CEILING(MAX(K165*(1+L165),K165+Settings!$B$5)/(1-Settings!$B$4),Settings!$B$6))</f>
        <v/>
      </c>
      <c r="N165" s="55"/>
      <c r="O165" s="56" t="str">
        <f aca="false">IF(K165="","",IF(N165="",M165,N165))</f>
        <v/>
      </c>
      <c r="P165" s="56" t="str">
        <f aca="false">IF(O165="","",O165*(1-Settings!$B$4)-K165)</f>
        <v/>
      </c>
      <c r="Q165" s="61" t="str">
        <f aca="false">IF(OR(O165="",O165=0),"",P165/O165)</f>
        <v/>
      </c>
      <c r="R165" s="52"/>
      <c r="S165" s="65" t="str">
        <f aca="false">IF(OR(B165="",R165="Paid",R165="Lost",R165="Shipped"),"",B165+Settings!$B$8)</f>
        <v/>
      </c>
      <c r="T165" s="10" t="str">
        <f aca="true">IF(OR(B165="",R165="Paid",R165="Lost"),"",TODAY()-B165)</f>
        <v/>
      </c>
      <c r="U165" s="53"/>
      <c r="V165" s="66"/>
    </row>
    <row r="166" customFormat="false" ht="15" hidden="false" customHeight="false" outlineLevel="0" collapsed="false">
      <c r="A166" s="10" t="str">
        <f aca="false">IF(B166="","","Q-"&amp;TEXT(ROW()-4,"000"))</f>
        <v/>
      </c>
      <c r="B166" s="53"/>
      <c r="C166" s="52"/>
      <c r="D166" s="52"/>
      <c r="E166" s="52"/>
      <c r="F166" s="52"/>
      <c r="G166" s="53"/>
      <c r="H166" s="52"/>
      <c r="I166" s="55"/>
      <c r="J166" s="55"/>
      <c r="K166" s="56" t="str">
        <f aca="false">IF(OR(F166="",I166=""),"",F166*I166+N(J166))</f>
        <v/>
      </c>
      <c r="L166" s="61" t="str">
        <f aca="false">IF(K166="","",INDEX(Settings!$B$14:$B$18,MATCH(K166,Settings!$A$14:$A$18,1)))</f>
        <v/>
      </c>
      <c r="M166" s="56" t="str">
        <f aca="false">IF(K166="","",CEILING(MAX(K166*(1+L166),K166+Settings!$B$5)/(1-Settings!$B$4),Settings!$B$6))</f>
        <v/>
      </c>
      <c r="N166" s="55"/>
      <c r="O166" s="56" t="str">
        <f aca="false">IF(K166="","",IF(N166="",M166,N166))</f>
        <v/>
      </c>
      <c r="P166" s="56" t="str">
        <f aca="false">IF(O166="","",O166*(1-Settings!$B$4)-K166)</f>
        <v/>
      </c>
      <c r="Q166" s="61" t="str">
        <f aca="false">IF(OR(O166="",O166=0),"",P166/O166)</f>
        <v/>
      </c>
      <c r="R166" s="52"/>
      <c r="S166" s="65" t="str">
        <f aca="false">IF(OR(B166="",R166="Paid",R166="Lost",R166="Shipped"),"",B166+Settings!$B$8)</f>
        <v/>
      </c>
      <c r="T166" s="10" t="str">
        <f aca="true">IF(OR(B166="",R166="Paid",R166="Lost"),"",TODAY()-B166)</f>
        <v/>
      </c>
      <c r="U166" s="53"/>
      <c r="V166" s="66"/>
    </row>
    <row r="167" customFormat="false" ht="15" hidden="false" customHeight="false" outlineLevel="0" collapsed="false">
      <c r="A167" s="10" t="str">
        <f aca="false">IF(B167="","","Q-"&amp;TEXT(ROW()-4,"000"))</f>
        <v/>
      </c>
      <c r="B167" s="53"/>
      <c r="C167" s="52"/>
      <c r="D167" s="52"/>
      <c r="E167" s="52"/>
      <c r="F167" s="52"/>
      <c r="G167" s="53"/>
      <c r="H167" s="52"/>
      <c r="I167" s="55"/>
      <c r="J167" s="55"/>
      <c r="K167" s="56" t="str">
        <f aca="false">IF(OR(F167="",I167=""),"",F167*I167+N(J167))</f>
        <v/>
      </c>
      <c r="L167" s="61" t="str">
        <f aca="false">IF(K167="","",INDEX(Settings!$B$14:$B$18,MATCH(K167,Settings!$A$14:$A$18,1)))</f>
        <v/>
      </c>
      <c r="M167" s="56" t="str">
        <f aca="false">IF(K167="","",CEILING(MAX(K167*(1+L167),K167+Settings!$B$5)/(1-Settings!$B$4),Settings!$B$6))</f>
        <v/>
      </c>
      <c r="N167" s="55"/>
      <c r="O167" s="56" t="str">
        <f aca="false">IF(K167="","",IF(N167="",M167,N167))</f>
        <v/>
      </c>
      <c r="P167" s="56" t="str">
        <f aca="false">IF(O167="","",O167*(1-Settings!$B$4)-K167)</f>
        <v/>
      </c>
      <c r="Q167" s="61" t="str">
        <f aca="false">IF(OR(O167="",O167=0),"",P167/O167)</f>
        <v/>
      </c>
      <c r="R167" s="52"/>
      <c r="S167" s="65" t="str">
        <f aca="false">IF(OR(B167="",R167="Paid",R167="Lost",R167="Shipped"),"",B167+Settings!$B$8)</f>
        <v/>
      </c>
      <c r="T167" s="10" t="str">
        <f aca="true">IF(OR(B167="",R167="Paid",R167="Lost"),"",TODAY()-B167)</f>
        <v/>
      </c>
      <c r="U167" s="53"/>
      <c r="V167" s="66"/>
    </row>
    <row r="168" customFormat="false" ht="15" hidden="false" customHeight="false" outlineLevel="0" collapsed="false">
      <c r="A168" s="10" t="str">
        <f aca="false">IF(B168="","","Q-"&amp;TEXT(ROW()-4,"000"))</f>
        <v/>
      </c>
      <c r="B168" s="53"/>
      <c r="C168" s="52"/>
      <c r="D168" s="52"/>
      <c r="E168" s="52"/>
      <c r="F168" s="52"/>
      <c r="G168" s="53"/>
      <c r="H168" s="52"/>
      <c r="I168" s="55"/>
      <c r="J168" s="55"/>
      <c r="K168" s="56" t="str">
        <f aca="false">IF(OR(F168="",I168=""),"",F168*I168+N(J168))</f>
        <v/>
      </c>
      <c r="L168" s="61" t="str">
        <f aca="false">IF(K168="","",INDEX(Settings!$B$14:$B$18,MATCH(K168,Settings!$A$14:$A$18,1)))</f>
        <v/>
      </c>
      <c r="M168" s="56" t="str">
        <f aca="false">IF(K168="","",CEILING(MAX(K168*(1+L168),K168+Settings!$B$5)/(1-Settings!$B$4),Settings!$B$6))</f>
        <v/>
      </c>
      <c r="N168" s="55"/>
      <c r="O168" s="56" t="str">
        <f aca="false">IF(K168="","",IF(N168="",M168,N168))</f>
        <v/>
      </c>
      <c r="P168" s="56" t="str">
        <f aca="false">IF(O168="","",O168*(1-Settings!$B$4)-K168)</f>
        <v/>
      </c>
      <c r="Q168" s="61" t="str">
        <f aca="false">IF(OR(O168="",O168=0),"",P168/O168)</f>
        <v/>
      </c>
      <c r="R168" s="52"/>
      <c r="S168" s="65" t="str">
        <f aca="false">IF(OR(B168="",R168="Paid",R168="Lost",R168="Shipped"),"",B168+Settings!$B$8)</f>
        <v/>
      </c>
      <c r="T168" s="10" t="str">
        <f aca="true">IF(OR(B168="",R168="Paid",R168="Lost"),"",TODAY()-B168)</f>
        <v/>
      </c>
      <c r="U168" s="53"/>
      <c r="V168" s="66"/>
    </row>
    <row r="169" customFormat="false" ht="15" hidden="false" customHeight="false" outlineLevel="0" collapsed="false">
      <c r="A169" s="10" t="str">
        <f aca="false">IF(B169="","","Q-"&amp;TEXT(ROW()-4,"000"))</f>
        <v/>
      </c>
      <c r="B169" s="53"/>
      <c r="C169" s="52"/>
      <c r="D169" s="52"/>
      <c r="E169" s="52"/>
      <c r="F169" s="52"/>
      <c r="G169" s="53"/>
      <c r="H169" s="52"/>
      <c r="I169" s="55"/>
      <c r="J169" s="55"/>
      <c r="K169" s="56" t="str">
        <f aca="false">IF(OR(F169="",I169=""),"",F169*I169+N(J169))</f>
        <v/>
      </c>
      <c r="L169" s="61" t="str">
        <f aca="false">IF(K169="","",INDEX(Settings!$B$14:$B$18,MATCH(K169,Settings!$A$14:$A$18,1)))</f>
        <v/>
      </c>
      <c r="M169" s="56" t="str">
        <f aca="false">IF(K169="","",CEILING(MAX(K169*(1+L169),K169+Settings!$B$5)/(1-Settings!$B$4),Settings!$B$6))</f>
        <v/>
      </c>
      <c r="N169" s="55"/>
      <c r="O169" s="56" t="str">
        <f aca="false">IF(K169="","",IF(N169="",M169,N169))</f>
        <v/>
      </c>
      <c r="P169" s="56" t="str">
        <f aca="false">IF(O169="","",O169*(1-Settings!$B$4)-K169)</f>
        <v/>
      </c>
      <c r="Q169" s="61" t="str">
        <f aca="false">IF(OR(O169="",O169=0),"",P169/O169)</f>
        <v/>
      </c>
      <c r="R169" s="52"/>
      <c r="S169" s="65" t="str">
        <f aca="false">IF(OR(B169="",R169="Paid",R169="Lost",R169="Shipped"),"",B169+Settings!$B$8)</f>
        <v/>
      </c>
      <c r="T169" s="10" t="str">
        <f aca="true">IF(OR(B169="",R169="Paid",R169="Lost"),"",TODAY()-B169)</f>
        <v/>
      </c>
      <c r="U169" s="53"/>
      <c r="V169" s="66"/>
    </row>
    <row r="170" customFormat="false" ht="15" hidden="false" customHeight="false" outlineLevel="0" collapsed="false">
      <c r="A170" s="10" t="str">
        <f aca="false">IF(B170="","","Q-"&amp;TEXT(ROW()-4,"000"))</f>
        <v/>
      </c>
      <c r="B170" s="53"/>
      <c r="C170" s="52"/>
      <c r="D170" s="52"/>
      <c r="E170" s="52"/>
      <c r="F170" s="52"/>
      <c r="G170" s="53"/>
      <c r="H170" s="52"/>
      <c r="I170" s="55"/>
      <c r="J170" s="55"/>
      <c r="K170" s="56" t="str">
        <f aca="false">IF(OR(F170="",I170=""),"",F170*I170+N(J170))</f>
        <v/>
      </c>
      <c r="L170" s="61" t="str">
        <f aca="false">IF(K170="","",INDEX(Settings!$B$14:$B$18,MATCH(K170,Settings!$A$14:$A$18,1)))</f>
        <v/>
      </c>
      <c r="M170" s="56" t="str">
        <f aca="false">IF(K170="","",CEILING(MAX(K170*(1+L170),K170+Settings!$B$5)/(1-Settings!$B$4),Settings!$B$6))</f>
        <v/>
      </c>
      <c r="N170" s="55"/>
      <c r="O170" s="56" t="str">
        <f aca="false">IF(K170="","",IF(N170="",M170,N170))</f>
        <v/>
      </c>
      <c r="P170" s="56" t="str">
        <f aca="false">IF(O170="","",O170*(1-Settings!$B$4)-K170)</f>
        <v/>
      </c>
      <c r="Q170" s="61" t="str">
        <f aca="false">IF(OR(O170="",O170=0),"",P170/O170)</f>
        <v/>
      </c>
      <c r="R170" s="52"/>
      <c r="S170" s="65" t="str">
        <f aca="false">IF(OR(B170="",R170="Paid",R170="Lost",R170="Shipped"),"",B170+Settings!$B$8)</f>
        <v/>
      </c>
      <c r="T170" s="10" t="str">
        <f aca="true">IF(OR(B170="",R170="Paid",R170="Lost"),"",TODAY()-B170)</f>
        <v/>
      </c>
      <c r="U170" s="53"/>
      <c r="V170" s="66"/>
    </row>
    <row r="171" customFormat="false" ht="15" hidden="false" customHeight="false" outlineLevel="0" collapsed="false">
      <c r="A171" s="10" t="str">
        <f aca="false">IF(B171="","","Q-"&amp;TEXT(ROW()-4,"000"))</f>
        <v/>
      </c>
      <c r="B171" s="53"/>
      <c r="C171" s="52"/>
      <c r="D171" s="52"/>
      <c r="E171" s="52"/>
      <c r="F171" s="52"/>
      <c r="G171" s="53"/>
      <c r="H171" s="52"/>
      <c r="I171" s="55"/>
      <c r="J171" s="55"/>
      <c r="K171" s="56" t="str">
        <f aca="false">IF(OR(F171="",I171=""),"",F171*I171+N(J171))</f>
        <v/>
      </c>
      <c r="L171" s="61" t="str">
        <f aca="false">IF(K171="","",INDEX(Settings!$B$14:$B$18,MATCH(K171,Settings!$A$14:$A$18,1)))</f>
        <v/>
      </c>
      <c r="M171" s="56" t="str">
        <f aca="false">IF(K171="","",CEILING(MAX(K171*(1+L171),K171+Settings!$B$5)/(1-Settings!$B$4),Settings!$B$6))</f>
        <v/>
      </c>
      <c r="N171" s="55"/>
      <c r="O171" s="56" t="str">
        <f aca="false">IF(K171="","",IF(N171="",M171,N171))</f>
        <v/>
      </c>
      <c r="P171" s="56" t="str">
        <f aca="false">IF(O171="","",O171*(1-Settings!$B$4)-K171)</f>
        <v/>
      </c>
      <c r="Q171" s="61" t="str">
        <f aca="false">IF(OR(O171="",O171=0),"",P171/O171)</f>
        <v/>
      </c>
      <c r="R171" s="52"/>
      <c r="S171" s="65" t="str">
        <f aca="false">IF(OR(B171="",R171="Paid",R171="Lost",R171="Shipped"),"",B171+Settings!$B$8)</f>
        <v/>
      </c>
      <c r="T171" s="10" t="str">
        <f aca="true">IF(OR(B171="",R171="Paid",R171="Lost"),"",TODAY()-B171)</f>
        <v/>
      </c>
      <c r="U171" s="53"/>
      <c r="V171" s="66"/>
    </row>
    <row r="172" customFormat="false" ht="15" hidden="false" customHeight="false" outlineLevel="0" collapsed="false">
      <c r="A172" s="10" t="str">
        <f aca="false">IF(B172="","","Q-"&amp;TEXT(ROW()-4,"000"))</f>
        <v/>
      </c>
      <c r="B172" s="53"/>
      <c r="C172" s="52"/>
      <c r="D172" s="52"/>
      <c r="E172" s="52"/>
      <c r="F172" s="52"/>
      <c r="G172" s="53"/>
      <c r="H172" s="52"/>
      <c r="I172" s="55"/>
      <c r="J172" s="55"/>
      <c r="K172" s="56" t="str">
        <f aca="false">IF(OR(F172="",I172=""),"",F172*I172+N(J172))</f>
        <v/>
      </c>
      <c r="L172" s="61" t="str">
        <f aca="false">IF(K172="","",INDEX(Settings!$B$14:$B$18,MATCH(K172,Settings!$A$14:$A$18,1)))</f>
        <v/>
      </c>
      <c r="M172" s="56" t="str">
        <f aca="false">IF(K172="","",CEILING(MAX(K172*(1+L172),K172+Settings!$B$5)/(1-Settings!$B$4),Settings!$B$6))</f>
        <v/>
      </c>
      <c r="N172" s="55"/>
      <c r="O172" s="56" t="str">
        <f aca="false">IF(K172="","",IF(N172="",M172,N172))</f>
        <v/>
      </c>
      <c r="P172" s="56" t="str">
        <f aca="false">IF(O172="","",O172*(1-Settings!$B$4)-K172)</f>
        <v/>
      </c>
      <c r="Q172" s="61" t="str">
        <f aca="false">IF(OR(O172="",O172=0),"",P172/O172)</f>
        <v/>
      </c>
      <c r="R172" s="52"/>
      <c r="S172" s="65" t="str">
        <f aca="false">IF(OR(B172="",R172="Paid",R172="Lost",R172="Shipped"),"",B172+Settings!$B$8)</f>
        <v/>
      </c>
      <c r="T172" s="10" t="str">
        <f aca="true">IF(OR(B172="",R172="Paid",R172="Lost"),"",TODAY()-B172)</f>
        <v/>
      </c>
      <c r="U172" s="53"/>
      <c r="V172" s="66"/>
    </row>
    <row r="173" customFormat="false" ht="15" hidden="false" customHeight="false" outlineLevel="0" collapsed="false">
      <c r="A173" s="10" t="str">
        <f aca="false">IF(B173="","","Q-"&amp;TEXT(ROW()-4,"000"))</f>
        <v/>
      </c>
      <c r="B173" s="53"/>
      <c r="C173" s="52"/>
      <c r="D173" s="52"/>
      <c r="E173" s="52"/>
      <c r="F173" s="52"/>
      <c r="G173" s="53"/>
      <c r="H173" s="52"/>
      <c r="I173" s="55"/>
      <c r="J173" s="55"/>
      <c r="K173" s="56" t="str">
        <f aca="false">IF(OR(F173="",I173=""),"",F173*I173+N(J173))</f>
        <v/>
      </c>
      <c r="L173" s="61" t="str">
        <f aca="false">IF(K173="","",INDEX(Settings!$B$14:$B$18,MATCH(K173,Settings!$A$14:$A$18,1)))</f>
        <v/>
      </c>
      <c r="M173" s="56" t="str">
        <f aca="false">IF(K173="","",CEILING(MAX(K173*(1+L173),K173+Settings!$B$5)/(1-Settings!$B$4),Settings!$B$6))</f>
        <v/>
      </c>
      <c r="N173" s="55"/>
      <c r="O173" s="56" t="str">
        <f aca="false">IF(K173="","",IF(N173="",M173,N173))</f>
        <v/>
      </c>
      <c r="P173" s="56" t="str">
        <f aca="false">IF(O173="","",O173*(1-Settings!$B$4)-K173)</f>
        <v/>
      </c>
      <c r="Q173" s="61" t="str">
        <f aca="false">IF(OR(O173="",O173=0),"",P173/O173)</f>
        <v/>
      </c>
      <c r="R173" s="52"/>
      <c r="S173" s="65" t="str">
        <f aca="false">IF(OR(B173="",R173="Paid",R173="Lost",R173="Shipped"),"",B173+Settings!$B$8)</f>
        <v/>
      </c>
      <c r="T173" s="10" t="str">
        <f aca="true">IF(OR(B173="",R173="Paid",R173="Lost"),"",TODAY()-B173)</f>
        <v/>
      </c>
      <c r="U173" s="53"/>
      <c r="V173" s="66"/>
    </row>
    <row r="174" customFormat="false" ht="15" hidden="false" customHeight="false" outlineLevel="0" collapsed="false">
      <c r="A174" s="10" t="str">
        <f aca="false">IF(B174="","","Q-"&amp;TEXT(ROW()-4,"000"))</f>
        <v/>
      </c>
      <c r="B174" s="53"/>
      <c r="C174" s="52"/>
      <c r="D174" s="52"/>
      <c r="E174" s="52"/>
      <c r="F174" s="52"/>
      <c r="G174" s="53"/>
      <c r="H174" s="52"/>
      <c r="I174" s="55"/>
      <c r="J174" s="55"/>
      <c r="K174" s="56" t="str">
        <f aca="false">IF(OR(F174="",I174=""),"",F174*I174+N(J174))</f>
        <v/>
      </c>
      <c r="L174" s="61" t="str">
        <f aca="false">IF(K174="","",INDEX(Settings!$B$14:$B$18,MATCH(K174,Settings!$A$14:$A$18,1)))</f>
        <v/>
      </c>
      <c r="M174" s="56" t="str">
        <f aca="false">IF(K174="","",CEILING(MAX(K174*(1+L174),K174+Settings!$B$5)/(1-Settings!$B$4),Settings!$B$6))</f>
        <v/>
      </c>
      <c r="N174" s="55"/>
      <c r="O174" s="56" t="str">
        <f aca="false">IF(K174="","",IF(N174="",M174,N174))</f>
        <v/>
      </c>
      <c r="P174" s="56" t="str">
        <f aca="false">IF(O174="","",O174*(1-Settings!$B$4)-K174)</f>
        <v/>
      </c>
      <c r="Q174" s="61" t="str">
        <f aca="false">IF(OR(O174="",O174=0),"",P174/O174)</f>
        <v/>
      </c>
      <c r="R174" s="52"/>
      <c r="S174" s="65" t="str">
        <f aca="false">IF(OR(B174="",R174="Paid",R174="Lost",R174="Shipped"),"",B174+Settings!$B$8)</f>
        <v/>
      </c>
      <c r="T174" s="10" t="str">
        <f aca="true">IF(OR(B174="",R174="Paid",R174="Lost"),"",TODAY()-B174)</f>
        <v/>
      </c>
      <c r="U174" s="53"/>
      <c r="V174" s="66"/>
    </row>
    <row r="175" customFormat="false" ht="15" hidden="false" customHeight="false" outlineLevel="0" collapsed="false">
      <c r="A175" s="10" t="str">
        <f aca="false">IF(B175="","","Q-"&amp;TEXT(ROW()-4,"000"))</f>
        <v/>
      </c>
      <c r="B175" s="53"/>
      <c r="C175" s="52"/>
      <c r="D175" s="52"/>
      <c r="E175" s="52"/>
      <c r="F175" s="52"/>
      <c r="G175" s="53"/>
      <c r="H175" s="52"/>
      <c r="I175" s="55"/>
      <c r="J175" s="55"/>
      <c r="K175" s="56" t="str">
        <f aca="false">IF(OR(F175="",I175=""),"",F175*I175+N(J175))</f>
        <v/>
      </c>
      <c r="L175" s="61" t="str">
        <f aca="false">IF(K175="","",INDEX(Settings!$B$14:$B$18,MATCH(K175,Settings!$A$14:$A$18,1)))</f>
        <v/>
      </c>
      <c r="M175" s="56" t="str">
        <f aca="false">IF(K175="","",CEILING(MAX(K175*(1+L175),K175+Settings!$B$5)/(1-Settings!$B$4),Settings!$B$6))</f>
        <v/>
      </c>
      <c r="N175" s="55"/>
      <c r="O175" s="56" t="str">
        <f aca="false">IF(K175="","",IF(N175="",M175,N175))</f>
        <v/>
      </c>
      <c r="P175" s="56" t="str">
        <f aca="false">IF(O175="","",O175*(1-Settings!$B$4)-K175)</f>
        <v/>
      </c>
      <c r="Q175" s="61" t="str">
        <f aca="false">IF(OR(O175="",O175=0),"",P175/O175)</f>
        <v/>
      </c>
      <c r="R175" s="52"/>
      <c r="S175" s="65" t="str">
        <f aca="false">IF(OR(B175="",R175="Paid",R175="Lost",R175="Shipped"),"",B175+Settings!$B$8)</f>
        <v/>
      </c>
      <c r="T175" s="10" t="str">
        <f aca="true">IF(OR(B175="",R175="Paid",R175="Lost"),"",TODAY()-B175)</f>
        <v/>
      </c>
      <c r="U175" s="53"/>
      <c r="V175" s="66"/>
    </row>
    <row r="176" customFormat="false" ht="15" hidden="false" customHeight="false" outlineLevel="0" collapsed="false">
      <c r="A176" s="10" t="str">
        <f aca="false">IF(B176="","","Q-"&amp;TEXT(ROW()-4,"000"))</f>
        <v/>
      </c>
      <c r="B176" s="53"/>
      <c r="C176" s="52"/>
      <c r="D176" s="52"/>
      <c r="E176" s="52"/>
      <c r="F176" s="52"/>
      <c r="G176" s="53"/>
      <c r="H176" s="52"/>
      <c r="I176" s="55"/>
      <c r="J176" s="55"/>
      <c r="K176" s="56" t="str">
        <f aca="false">IF(OR(F176="",I176=""),"",F176*I176+N(J176))</f>
        <v/>
      </c>
      <c r="L176" s="61" t="str">
        <f aca="false">IF(K176="","",INDEX(Settings!$B$14:$B$18,MATCH(K176,Settings!$A$14:$A$18,1)))</f>
        <v/>
      </c>
      <c r="M176" s="56" t="str">
        <f aca="false">IF(K176="","",CEILING(MAX(K176*(1+L176),K176+Settings!$B$5)/(1-Settings!$B$4),Settings!$B$6))</f>
        <v/>
      </c>
      <c r="N176" s="55"/>
      <c r="O176" s="56" t="str">
        <f aca="false">IF(K176="","",IF(N176="",M176,N176))</f>
        <v/>
      </c>
      <c r="P176" s="56" t="str">
        <f aca="false">IF(O176="","",O176*(1-Settings!$B$4)-K176)</f>
        <v/>
      </c>
      <c r="Q176" s="61" t="str">
        <f aca="false">IF(OR(O176="",O176=0),"",P176/O176)</f>
        <v/>
      </c>
      <c r="R176" s="52"/>
      <c r="S176" s="65" t="str">
        <f aca="false">IF(OR(B176="",R176="Paid",R176="Lost",R176="Shipped"),"",B176+Settings!$B$8)</f>
        <v/>
      </c>
      <c r="T176" s="10" t="str">
        <f aca="true">IF(OR(B176="",R176="Paid",R176="Lost"),"",TODAY()-B176)</f>
        <v/>
      </c>
      <c r="U176" s="53"/>
      <c r="V176" s="66"/>
    </row>
    <row r="177" customFormat="false" ht="15" hidden="false" customHeight="false" outlineLevel="0" collapsed="false">
      <c r="A177" s="10" t="str">
        <f aca="false">IF(B177="","","Q-"&amp;TEXT(ROW()-4,"000"))</f>
        <v/>
      </c>
      <c r="B177" s="53"/>
      <c r="C177" s="52"/>
      <c r="D177" s="52"/>
      <c r="E177" s="52"/>
      <c r="F177" s="52"/>
      <c r="G177" s="53"/>
      <c r="H177" s="52"/>
      <c r="I177" s="55"/>
      <c r="J177" s="55"/>
      <c r="K177" s="56" t="str">
        <f aca="false">IF(OR(F177="",I177=""),"",F177*I177+N(J177))</f>
        <v/>
      </c>
      <c r="L177" s="61" t="str">
        <f aca="false">IF(K177="","",INDEX(Settings!$B$14:$B$18,MATCH(K177,Settings!$A$14:$A$18,1)))</f>
        <v/>
      </c>
      <c r="M177" s="56" t="str">
        <f aca="false">IF(K177="","",CEILING(MAX(K177*(1+L177),K177+Settings!$B$5)/(1-Settings!$B$4),Settings!$B$6))</f>
        <v/>
      </c>
      <c r="N177" s="55"/>
      <c r="O177" s="56" t="str">
        <f aca="false">IF(K177="","",IF(N177="",M177,N177))</f>
        <v/>
      </c>
      <c r="P177" s="56" t="str">
        <f aca="false">IF(O177="","",O177*(1-Settings!$B$4)-K177)</f>
        <v/>
      </c>
      <c r="Q177" s="61" t="str">
        <f aca="false">IF(OR(O177="",O177=0),"",P177/O177)</f>
        <v/>
      </c>
      <c r="R177" s="52"/>
      <c r="S177" s="65" t="str">
        <f aca="false">IF(OR(B177="",R177="Paid",R177="Lost",R177="Shipped"),"",B177+Settings!$B$8)</f>
        <v/>
      </c>
      <c r="T177" s="10" t="str">
        <f aca="true">IF(OR(B177="",R177="Paid",R177="Lost"),"",TODAY()-B177)</f>
        <v/>
      </c>
      <c r="U177" s="53"/>
      <c r="V177" s="66"/>
    </row>
    <row r="178" customFormat="false" ht="15" hidden="false" customHeight="false" outlineLevel="0" collapsed="false">
      <c r="A178" s="10" t="str">
        <f aca="false">IF(B178="","","Q-"&amp;TEXT(ROW()-4,"000"))</f>
        <v/>
      </c>
      <c r="B178" s="53"/>
      <c r="C178" s="52"/>
      <c r="D178" s="52"/>
      <c r="E178" s="52"/>
      <c r="F178" s="52"/>
      <c r="G178" s="53"/>
      <c r="H178" s="52"/>
      <c r="I178" s="55"/>
      <c r="J178" s="55"/>
      <c r="K178" s="56" t="str">
        <f aca="false">IF(OR(F178="",I178=""),"",F178*I178+N(J178))</f>
        <v/>
      </c>
      <c r="L178" s="61" t="str">
        <f aca="false">IF(K178="","",INDEX(Settings!$B$14:$B$18,MATCH(K178,Settings!$A$14:$A$18,1)))</f>
        <v/>
      </c>
      <c r="M178" s="56" t="str">
        <f aca="false">IF(K178="","",CEILING(MAX(K178*(1+L178),K178+Settings!$B$5)/(1-Settings!$B$4),Settings!$B$6))</f>
        <v/>
      </c>
      <c r="N178" s="55"/>
      <c r="O178" s="56" t="str">
        <f aca="false">IF(K178="","",IF(N178="",M178,N178))</f>
        <v/>
      </c>
      <c r="P178" s="56" t="str">
        <f aca="false">IF(O178="","",O178*(1-Settings!$B$4)-K178)</f>
        <v/>
      </c>
      <c r="Q178" s="61" t="str">
        <f aca="false">IF(OR(O178="",O178=0),"",P178/O178)</f>
        <v/>
      </c>
      <c r="R178" s="52"/>
      <c r="S178" s="65" t="str">
        <f aca="false">IF(OR(B178="",R178="Paid",R178="Lost",R178="Shipped"),"",B178+Settings!$B$8)</f>
        <v/>
      </c>
      <c r="T178" s="10" t="str">
        <f aca="true">IF(OR(B178="",R178="Paid",R178="Lost"),"",TODAY()-B178)</f>
        <v/>
      </c>
      <c r="U178" s="53"/>
      <c r="V178" s="66"/>
    </row>
    <row r="179" customFormat="false" ht="15" hidden="false" customHeight="false" outlineLevel="0" collapsed="false">
      <c r="A179" s="10" t="str">
        <f aca="false">IF(B179="","","Q-"&amp;TEXT(ROW()-4,"000"))</f>
        <v/>
      </c>
      <c r="B179" s="53"/>
      <c r="C179" s="52"/>
      <c r="D179" s="52"/>
      <c r="E179" s="52"/>
      <c r="F179" s="52"/>
      <c r="G179" s="53"/>
      <c r="H179" s="52"/>
      <c r="I179" s="55"/>
      <c r="J179" s="55"/>
      <c r="K179" s="56" t="str">
        <f aca="false">IF(OR(F179="",I179=""),"",F179*I179+N(J179))</f>
        <v/>
      </c>
      <c r="L179" s="61" t="str">
        <f aca="false">IF(K179="","",INDEX(Settings!$B$14:$B$18,MATCH(K179,Settings!$A$14:$A$18,1)))</f>
        <v/>
      </c>
      <c r="M179" s="56" t="str">
        <f aca="false">IF(K179="","",CEILING(MAX(K179*(1+L179),K179+Settings!$B$5)/(1-Settings!$B$4),Settings!$B$6))</f>
        <v/>
      </c>
      <c r="N179" s="55"/>
      <c r="O179" s="56" t="str">
        <f aca="false">IF(K179="","",IF(N179="",M179,N179))</f>
        <v/>
      </c>
      <c r="P179" s="56" t="str">
        <f aca="false">IF(O179="","",O179*(1-Settings!$B$4)-K179)</f>
        <v/>
      </c>
      <c r="Q179" s="61" t="str">
        <f aca="false">IF(OR(O179="",O179=0),"",P179/O179)</f>
        <v/>
      </c>
      <c r="R179" s="52"/>
      <c r="S179" s="65" t="str">
        <f aca="false">IF(OR(B179="",R179="Paid",R179="Lost",R179="Shipped"),"",B179+Settings!$B$8)</f>
        <v/>
      </c>
      <c r="T179" s="10" t="str">
        <f aca="true">IF(OR(B179="",R179="Paid",R179="Lost"),"",TODAY()-B179)</f>
        <v/>
      </c>
      <c r="U179" s="53"/>
      <c r="V179" s="66"/>
    </row>
    <row r="180" customFormat="false" ht="15" hidden="false" customHeight="false" outlineLevel="0" collapsed="false">
      <c r="A180" s="10" t="str">
        <f aca="false">IF(B180="","","Q-"&amp;TEXT(ROW()-4,"000"))</f>
        <v/>
      </c>
      <c r="B180" s="53"/>
      <c r="C180" s="52"/>
      <c r="D180" s="52"/>
      <c r="E180" s="52"/>
      <c r="F180" s="52"/>
      <c r="G180" s="53"/>
      <c r="H180" s="52"/>
      <c r="I180" s="55"/>
      <c r="J180" s="55"/>
      <c r="K180" s="56" t="str">
        <f aca="false">IF(OR(F180="",I180=""),"",F180*I180+N(J180))</f>
        <v/>
      </c>
      <c r="L180" s="61" t="str">
        <f aca="false">IF(K180="","",INDEX(Settings!$B$14:$B$18,MATCH(K180,Settings!$A$14:$A$18,1)))</f>
        <v/>
      </c>
      <c r="M180" s="56" t="str">
        <f aca="false">IF(K180="","",CEILING(MAX(K180*(1+L180),K180+Settings!$B$5)/(1-Settings!$B$4),Settings!$B$6))</f>
        <v/>
      </c>
      <c r="N180" s="55"/>
      <c r="O180" s="56" t="str">
        <f aca="false">IF(K180="","",IF(N180="",M180,N180))</f>
        <v/>
      </c>
      <c r="P180" s="56" t="str">
        <f aca="false">IF(O180="","",O180*(1-Settings!$B$4)-K180)</f>
        <v/>
      </c>
      <c r="Q180" s="61" t="str">
        <f aca="false">IF(OR(O180="",O180=0),"",P180/O180)</f>
        <v/>
      </c>
      <c r="R180" s="52"/>
      <c r="S180" s="65" t="str">
        <f aca="false">IF(OR(B180="",R180="Paid",R180="Lost",R180="Shipped"),"",B180+Settings!$B$8)</f>
        <v/>
      </c>
      <c r="T180" s="10" t="str">
        <f aca="true">IF(OR(B180="",R180="Paid",R180="Lost"),"",TODAY()-B180)</f>
        <v/>
      </c>
      <c r="U180" s="53"/>
      <c r="V180" s="66"/>
    </row>
    <row r="181" customFormat="false" ht="15" hidden="false" customHeight="false" outlineLevel="0" collapsed="false">
      <c r="A181" s="10" t="str">
        <f aca="false">IF(B181="","","Q-"&amp;TEXT(ROW()-4,"000"))</f>
        <v/>
      </c>
      <c r="B181" s="53"/>
      <c r="C181" s="52"/>
      <c r="D181" s="52"/>
      <c r="E181" s="52"/>
      <c r="F181" s="52"/>
      <c r="G181" s="53"/>
      <c r="H181" s="52"/>
      <c r="I181" s="55"/>
      <c r="J181" s="55"/>
      <c r="K181" s="56" t="str">
        <f aca="false">IF(OR(F181="",I181=""),"",F181*I181+N(J181))</f>
        <v/>
      </c>
      <c r="L181" s="61" t="str">
        <f aca="false">IF(K181="","",INDEX(Settings!$B$14:$B$18,MATCH(K181,Settings!$A$14:$A$18,1)))</f>
        <v/>
      </c>
      <c r="M181" s="56" t="str">
        <f aca="false">IF(K181="","",CEILING(MAX(K181*(1+L181),K181+Settings!$B$5)/(1-Settings!$B$4),Settings!$B$6))</f>
        <v/>
      </c>
      <c r="N181" s="55"/>
      <c r="O181" s="56" t="str">
        <f aca="false">IF(K181="","",IF(N181="",M181,N181))</f>
        <v/>
      </c>
      <c r="P181" s="56" t="str">
        <f aca="false">IF(O181="","",O181*(1-Settings!$B$4)-K181)</f>
        <v/>
      </c>
      <c r="Q181" s="61" t="str">
        <f aca="false">IF(OR(O181="",O181=0),"",P181/O181)</f>
        <v/>
      </c>
      <c r="R181" s="52"/>
      <c r="S181" s="65" t="str">
        <f aca="false">IF(OR(B181="",R181="Paid",R181="Lost",R181="Shipped"),"",B181+Settings!$B$8)</f>
        <v/>
      </c>
      <c r="T181" s="10" t="str">
        <f aca="true">IF(OR(B181="",R181="Paid",R181="Lost"),"",TODAY()-B181)</f>
        <v/>
      </c>
      <c r="U181" s="53"/>
      <c r="V181" s="66"/>
    </row>
    <row r="182" customFormat="false" ht="15" hidden="false" customHeight="false" outlineLevel="0" collapsed="false">
      <c r="A182" s="10" t="str">
        <f aca="false">IF(B182="","","Q-"&amp;TEXT(ROW()-4,"000"))</f>
        <v/>
      </c>
      <c r="B182" s="53"/>
      <c r="C182" s="52"/>
      <c r="D182" s="52"/>
      <c r="E182" s="52"/>
      <c r="F182" s="52"/>
      <c r="G182" s="53"/>
      <c r="H182" s="52"/>
      <c r="I182" s="55"/>
      <c r="J182" s="55"/>
      <c r="K182" s="56" t="str">
        <f aca="false">IF(OR(F182="",I182=""),"",F182*I182+N(J182))</f>
        <v/>
      </c>
      <c r="L182" s="61" t="str">
        <f aca="false">IF(K182="","",INDEX(Settings!$B$14:$B$18,MATCH(K182,Settings!$A$14:$A$18,1)))</f>
        <v/>
      </c>
      <c r="M182" s="56" t="str">
        <f aca="false">IF(K182="","",CEILING(MAX(K182*(1+L182),K182+Settings!$B$5)/(1-Settings!$B$4),Settings!$B$6))</f>
        <v/>
      </c>
      <c r="N182" s="55"/>
      <c r="O182" s="56" t="str">
        <f aca="false">IF(K182="","",IF(N182="",M182,N182))</f>
        <v/>
      </c>
      <c r="P182" s="56" t="str">
        <f aca="false">IF(O182="","",O182*(1-Settings!$B$4)-K182)</f>
        <v/>
      </c>
      <c r="Q182" s="61" t="str">
        <f aca="false">IF(OR(O182="",O182=0),"",P182/O182)</f>
        <v/>
      </c>
      <c r="R182" s="52"/>
      <c r="S182" s="65" t="str">
        <f aca="false">IF(OR(B182="",R182="Paid",R182="Lost",R182="Shipped"),"",B182+Settings!$B$8)</f>
        <v/>
      </c>
      <c r="T182" s="10" t="str">
        <f aca="true">IF(OR(B182="",R182="Paid",R182="Lost"),"",TODAY()-B182)</f>
        <v/>
      </c>
      <c r="U182" s="53"/>
      <c r="V182" s="66"/>
    </row>
    <row r="183" customFormat="false" ht="15" hidden="false" customHeight="false" outlineLevel="0" collapsed="false">
      <c r="A183" s="10" t="str">
        <f aca="false">IF(B183="","","Q-"&amp;TEXT(ROW()-4,"000"))</f>
        <v/>
      </c>
      <c r="B183" s="53"/>
      <c r="C183" s="52"/>
      <c r="D183" s="52"/>
      <c r="E183" s="52"/>
      <c r="F183" s="52"/>
      <c r="G183" s="53"/>
      <c r="H183" s="52"/>
      <c r="I183" s="55"/>
      <c r="J183" s="55"/>
      <c r="K183" s="56" t="str">
        <f aca="false">IF(OR(F183="",I183=""),"",F183*I183+N(J183))</f>
        <v/>
      </c>
      <c r="L183" s="61" t="str">
        <f aca="false">IF(K183="","",INDEX(Settings!$B$14:$B$18,MATCH(K183,Settings!$A$14:$A$18,1)))</f>
        <v/>
      </c>
      <c r="M183" s="56" t="str">
        <f aca="false">IF(K183="","",CEILING(MAX(K183*(1+L183),K183+Settings!$B$5)/(1-Settings!$B$4),Settings!$B$6))</f>
        <v/>
      </c>
      <c r="N183" s="55"/>
      <c r="O183" s="56" t="str">
        <f aca="false">IF(K183="","",IF(N183="",M183,N183))</f>
        <v/>
      </c>
      <c r="P183" s="56" t="str">
        <f aca="false">IF(O183="","",O183*(1-Settings!$B$4)-K183)</f>
        <v/>
      </c>
      <c r="Q183" s="61" t="str">
        <f aca="false">IF(OR(O183="",O183=0),"",P183/O183)</f>
        <v/>
      </c>
      <c r="R183" s="52"/>
      <c r="S183" s="65" t="str">
        <f aca="false">IF(OR(B183="",R183="Paid",R183="Lost",R183="Shipped"),"",B183+Settings!$B$8)</f>
        <v/>
      </c>
      <c r="T183" s="10" t="str">
        <f aca="true">IF(OR(B183="",R183="Paid",R183="Lost"),"",TODAY()-B183)</f>
        <v/>
      </c>
      <c r="U183" s="53"/>
      <c r="V183" s="66"/>
    </row>
    <row r="184" customFormat="false" ht="15" hidden="false" customHeight="false" outlineLevel="0" collapsed="false">
      <c r="A184" s="10" t="str">
        <f aca="false">IF(B184="","","Q-"&amp;TEXT(ROW()-4,"000"))</f>
        <v/>
      </c>
      <c r="B184" s="53"/>
      <c r="C184" s="52"/>
      <c r="D184" s="52"/>
      <c r="E184" s="52"/>
      <c r="F184" s="52"/>
      <c r="G184" s="53"/>
      <c r="H184" s="52"/>
      <c r="I184" s="55"/>
      <c r="J184" s="55"/>
      <c r="K184" s="56" t="str">
        <f aca="false">IF(OR(F184="",I184=""),"",F184*I184+N(J184))</f>
        <v/>
      </c>
      <c r="L184" s="61" t="str">
        <f aca="false">IF(K184="","",INDEX(Settings!$B$14:$B$18,MATCH(K184,Settings!$A$14:$A$18,1)))</f>
        <v/>
      </c>
      <c r="M184" s="56" t="str">
        <f aca="false">IF(K184="","",CEILING(MAX(K184*(1+L184),K184+Settings!$B$5)/(1-Settings!$B$4),Settings!$B$6))</f>
        <v/>
      </c>
      <c r="N184" s="55"/>
      <c r="O184" s="56" t="str">
        <f aca="false">IF(K184="","",IF(N184="",M184,N184))</f>
        <v/>
      </c>
      <c r="P184" s="56" t="str">
        <f aca="false">IF(O184="","",O184*(1-Settings!$B$4)-K184)</f>
        <v/>
      </c>
      <c r="Q184" s="61" t="str">
        <f aca="false">IF(OR(O184="",O184=0),"",P184/O184)</f>
        <v/>
      </c>
      <c r="R184" s="52"/>
      <c r="S184" s="65" t="str">
        <f aca="false">IF(OR(B184="",R184="Paid",R184="Lost",R184="Shipped"),"",B184+Settings!$B$8)</f>
        <v/>
      </c>
      <c r="T184" s="10" t="str">
        <f aca="true">IF(OR(B184="",R184="Paid",R184="Lost"),"",TODAY()-B184)</f>
        <v/>
      </c>
      <c r="U184" s="53"/>
      <c r="V184" s="66"/>
    </row>
    <row r="185" customFormat="false" ht="15" hidden="false" customHeight="false" outlineLevel="0" collapsed="false">
      <c r="A185" s="10" t="str">
        <f aca="false">IF(B185="","","Q-"&amp;TEXT(ROW()-4,"000"))</f>
        <v/>
      </c>
      <c r="B185" s="53"/>
      <c r="C185" s="52"/>
      <c r="D185" s="52"/>
      <c r="E185" s="52"/>
      <c r="F185" s="52"/>
      <c r="G185" s="53"/>
      <c r="H185" s="52"/>
      <c r="I185" s="55"/>
      <c r="J185" s="55"/>
      <c r="K185" s="56" t="str">
        <f aca="false">IF(OR(F185="",I185=""),"",F185*I185+N(J185))</f>
        <v/>
      </c>
      <c r="L185" s="61" t="str">
        <f aca="false">IF(K185="","",INDEX(Settings!$B$14:$B$18,MATCH(K185,Settings!$A$14:$A$18,1)))</f>
        <v/>
      </c>
      <c r="M185" s="56" t="str">
        <f aca="false">IF(K185="","",CEILING(MAX(K185*(1+L185),K185+Settings!$B$5)/(1-Settings!$B$4),Settings!$B$6))</f>
        <v/>
      </c>
      <c r="N185" s="55"/>
      <c r="O185" s="56" t="str">
        <f aca="false">IF(K185="","",IF(N185="",M185,N185))</f>
        <v/>
      </c>
      <c r="P185" s="56" t="str">
        <f aca="false">IF(O185="","",O185*(1-Settings!$B$4)-K185)</f>
        <v/>
      </c>
      <c r="Q185" s="61" t="str">
        <f aca="false">IF(OR(O185="",O185=0),"",P185/O185)</f>
        <v/>
      </c>
      <c r="R185" s="52"/>
      <c r="S185" s="65" t="str">
        <f aca="false">IF(OR(B185="",R185="Paid",R185="Lost",R185="Shipped"),"",B185+Settings!$B$8)</f>
        <v/>
      </c>
      <c r="T185" s="10" t="str">
        <f aca="true">IF(OR(B185="",R185="Paid",R185="Lost"),"",TODAY()-B185)</f>
        <v/>
      </c>
      <c r="U185" s="53"/>
      <c r="V185" s="66"/>
    </row>
    <row r="186" customFormat="false" ht="15" hidden="false" customHeight="false" outlineLevel="0" collapsed="false">
      <c r="A186" s="10" t="str">
        <f aca="false">IF(B186="","","Q-"&amp;TEXT(ROW()-4,"000"))</f>
        <v/>
      </c>
      <c r="B186" s="53"/>
      <c r="C186" s="52"/>
      <c r="D186" s="52"/>
      <c r="E186" s="52"/>
      <c r="F186" s="52"/>
      <c r="G186" s="53"/>
      <c r="H186" s="52"/>
      <c r="I186" s="55"/>
      <c r="J186" s="55"/>
      <c r="K186" s="56" t="str">
        <f aca="false">IF(OR(F186="",I186=""),"",F186*I186+N(J186))</f>
        <v/>
      </c>
      <c r="L186" s="61" t="str">
        <f aca="false">IF(K186="","",INDEX(Settings!$B$14:$B$18,MATCH(K186,Settings!$A$14:$A$18,1)))</f>
        <v/>
      </c>
      <c r="M186" s="56" t="str">
        <f aca="false">IF(K186="","",CEILING(MAX(K186*(1+L186),K186+Settings!$B$5)/(1-Settings!$B$4),Settings!$B$6))</f>
        <v/>
      </c>
      <c r="N186" s="55"/>
      <c r="O186" s="56" t="str">
        <f aca="false">IF(K186="","",IF(N186="",M186,N186))</f>
        <v/>
      </c>
      <c r="P186" s="56" t="str">
        <f aca="false">IF(O186="","",O186*(1-Settings!$B$4)-K186)</f>
        <v/>
      </c>
      <c r="Q186" s="61" t="str">
        <f aca="false">IF(OR(O186="",O186=0),"",P186/O186)</f>
        <v/>
      </c>
      <c r="R186" s="52"/>
      <c r="S186" s="65" t="str">
        <f aca="false">IF(OR(B186="",R186="Paid",R186="Lost",R186="Shipped"),"",B186+Settings!$B$8)</f>
        <v/>
      </c>
      <c r="T186" s="10" t="str">
        <f aca="true">IF(OR(B186="",R186="Paid",R186="Lost"),"",TODAY()-B186)</f>
        <v/>
      </c>
      <c r="U186" s="53"/>
      <c r="V186" s="66"/>
    </row>
    <row r="187" customFormat="false" ht="15" hidden="false" customHeight="false" outlineLevel="0" collapsed="false">
      <c r="A187" s="10" t="str">
        <f aca="false">IF(B187="","","Q-"&amp;TEXT(ROW()-4,"000"))</f>
        <v/>
      </c>
      <c r="B187" s="53"/>
      <c r="C187" s="52"/>
      <c r="D187" s="52"/>
      <c r="E187" s="52"/>
      <c r="F187" s="52"/>
      <c r="G187" s="53"/>
      <c r="H187" s="52"/>
      <c r="I187" s="55"/>
      <c r="J187" s="55"/>
      <c r="K187" s="56" t="str">
        <f aca="false">IF(OR(F187="",I187=""),"",F187*I187+N(J187))</f>
        <v/>
      </c>
      <c r="L187" s="61" t="str">
        <f aca="false">IF(K187="","",INDEX(Settings!$B$14:$B$18,MATCH(K187,Settings!$A$14:$A$18,1)))</f>
        <v/>
      </c>
      <c r="M187" s="56" t="str">
        <f aca="false">IF(K187="","",CEILING(MAX(K187*(1+L187),K187+Settings!$B$5)/(1-Settings!$B$4),Settings!$B$6))</f>
        <v/>
      </c>
      <c r="N187" s="55"/>
      <c r="O187" s="56" t="str">
        <f aca="false">IF(K187="","",IF(N187="",M187,N187))</f>
        <v/>
      </c>
      <c r="P187" s="56" t="str">
        <f aca="false">IF(O187="","",O187*(1-Settings!$B$4)-K187)</f>
        <v/>
      </c>
      <c r="Q187" s="61" t="str">
        <f aca="false">IF(OR(O187="",O187=0),"",P187/O187)</f>
        <v/>
      </c>
      <c r="R187" s="52"/>
      <c r="S187" s="65" t="str">
        <f aca="false">IF(OR(B187="",R187="Paid",R187="Lost",R187="Shipped"),"",B187+Settings!$B$8)</f>
        <v/>
      </c>
      <c r="T187" s="10" t="str">
        <f aca="true">IF(OR(B187="",R187="Paid",R187="Lost"),"",TODAY()-B187)</f>
        <v/>
      </c>
      <c r="U187" s="53"/>
      <c r="V187" s="66"/>
    </row>
    <row r="188" customFormat="false" ht="15" hidden="false" customHeight="false" outlineLevel="0" collapsed="false">
      <c r="A188" s="10" t="str">
        <f aca="false">IF(B188="","","Q-"&amp;TEXT(ROW()-4,"000"))</f>
        <v/>
      </c>
      <c r="B188" s="53"/>
      <c r="C188" s="52"/>
      <c r="D188" s="52"/>
      <c r="E188" s="52"/>
      <c r="F188" s="52"/>
      <c r="G188" s="53"/>
      <c r="H188" s="52"/>
      <c r="I188" s="55"/>
      <c r="J188" s="55"/>
      <c r="K188" s="56" t="str">
        <f aca="false">IF(OR(F188="",I188=""),"",F188*I188+N(J188))</f>
        <v/>
      </c>
      <c r="L188" s="61" t="str">
        <f aca="false">IF(K188="","",INDEX(Settings!$B$14:$B$18,MATCH(K188,Settings!$A$14:$A$18,1)))</f>
        <v/>
      </c>
      <c r="M188" s="56" t="str">
        <f aca="false">IF(K188="","",CEILING(MAX(K188*(1+L188),K188+Settings!$B$5)/(1-Settings!$B$4),Settings!$B$6))</f>
        <v/>
      </c>
      <c r="N188" s="55"/>
      <c r="O188" s="56" t="str">
        <f aca="false">IF(K188="","",IF(N188="",M188,N188))</f>
        <v/>
      </c>
      <c r="P188" s="56" t="str">
        <f aca="false">IF(O188="","",O188*(1-Settings!$B$4)-K188)</f>
        <v/>
      </c>
      <c r="Q188" s="61" t="str">
        <f aca="false">IF(OR(O188="",O188=0),"",P188/O188)</f>
        <v/>
      </c>
      <c r="R188" s="52"/>
      <c r="S188" s="65" t="str">
        <f aca="false">IF(OR(B188="",R188="Paid",R188="Lost",R188="Shipped"),"",B188+Settings!$B$8)</f>
        <v/>
      </c>
      <c r="T188" s="10" t="str">
        <f aca="true">IF(OR(B188="",R188="Paid",R188="Lost"),"",TODAY()-B188)</f>
        <v/>
      </c>
      <c r="U188" s="53"/>
      <c r="V188" s="66"/>
    </row>
    <row r="189" customFormat="false" ht="15" hidden="false" customHeight="false" outlineLevel="0" collapsed="false">
      <c r="A189" s="10" t="str">
        <f aca="false">IF(B189="","","Q-"&amp;TEXT(ROW()-4,"000"))</f>
        <v/>
      </c>
      <c r="B189" s="53"/>
      <c r="C189" s="52"/>
      <c r="D189" s="52"/>
      <c r="E189" s="52"/>
      <c r="F189" s="52"/>
      <c r="G189" s="53"/>
      <c r="H189" s="52"/>
      <c r="I189" s="55"/>
      <c r="J189" s="55"/>
      <c r="K189" s="56" t="str">
        <f aca="false">IF(OR(F189="",I189=""),"",F189*I189+N(J189))</f>
        <v/>
      </c>
      <c r="L189" s="61" t="str">
        <f aca="false">IF(K189="","",INDEX(Settings!$B$14:$B$18,MATCH(K189,Settings!$A$14:$A$18,1)))</f>
        <v/>
      </c>
      <c r="M189" s="56" t="str">
        <f aca="false">IF(K189="","",CEILING(MAX(K189*(1+L189),K189+Settings!$B$5)/(1-Settings!$B$4),Settings!$B$6))</f>
        <v/>
      </c>
      <c r="N189" s="55"/>
      <c r="O189" s="56" t="str">
        <f aca="false">IF(K189="","",IF(N189="",M189,N189))</f>
        <v/>
      </c>
      <c r="P189" s="56" t="str">
        <f aca="false">IF(O189="","",O189*(1-Settings!$B$4)-K189)</f>
        <v/>
      </c>
      <c r="Q189" s="61" t="str">
        <f aca="false">IF(OR(O189="",O189=0),"",P189/O189)</f>
        <v/>
      </c>
      <c r="R189" s="52"/>
      <c r="S189" s="65" t="str">
        <f aca="false">IF(OR(B189="",R189="Paid",R189="Lost",R189="Shipped"),"",B189+Settings!$B$8)</f>
        <v/>
      </c>
      <c r="T189" s="10" t="str">
        <f aca="true">IF(OR(B189="",R189="Paid",R189="Lost"),"",TODAY()-B189)</f>
        <v/>
      </c>
      <c r="U189" s="53"/>
      <c r="V189" s="66"/>
    </row>
    <row r="190" customFormat="false" ht="15" hidden="false" customHeight="false" outlineLevel="0" collapsed="false">
      <c r="A190" s="10" t="str">
        <f aca="false">IF(B190="","","Q-"&amp;TEXT(ROW()-4,"000"))</f>
        <v/>
      </c>
      <c r="B190" s="53"/>
      <c r="C190" s="52"/>
      <c r="D190" s="52"/>
      <c r="E190" s="52"/>
      <c r="F190" s="52"/>
      <c r="G190" s="53"/>
      <c r="H190" s="52"/>
      <c r="I190" s="55"/>
      <c r="J190" s="55"/>
      <c r="K190" s="56" t="str">
        <f aca="false">IF(OR(F190="",I190=""),"",F190*I190+N(J190))</f>
        <v/>
      </c>
      <c r="L190" s="61" t="str">
        <f aca="false">IF(K190="","",INDEX(Settings!$B$14:$B$18,MATCH(K190,Settings!$A$14:$A$18,1)))</f>
        <v/>
      </c>
      <c r="M190" s="56" t="str">
        <f aca="false">IF(K190="","",CEILING(MAX(K190*(1+L190),K190+Settings!$B$5)/(1-Settings!$B$4),Settings!$B$6))</f>
        <v/>
      </c>
      <c r="N190" s="55"/>
      <c r="O190" s="56" t="str">
        <f aca="false">IF(K190="","",IF(N190="",M190,N190))</f>
        <v/>
      </c>
      <c r="P190" s="56" t="str">
        <f aca="false">IF(O190="","",O190*(1-Settings!$B$4)-K190)</f>
        <v/>
      </c>
      <c r="Q190" s="61" t="str">
        <f aca="false">IF(OR(O190="",O190=0),"",P190/O190)</f>
        <v/>
      </c>
      <c r="R190" s="52"/>
      <c r="S190" s="65" t="str">
        <f aca="false">IF(OR(B190="",R190="Paid",R190="Lost",R190="Shipped"),"",B190+Settings!$B$8)</f>
        <v/>
      </c>
      <c r="T190" s="10" t="str">
        <f aca="true">IF(OR(B190="",R190="Paid",R190="Lost"),"",TODAY()-B190)</f>
        <v/>
      </c>
      <c r="U190" s="53"/>
      <c r="V190" s="66"/>
    </row>
    <row r="191" customFormat="false" ht="15" hidden="false" customHeight="false" outlineLevel="0" collapsed="false">
      <c r="A191" s="10" t="str">
        <f aca="false">IF(B191="","","Q-"&amp;TEXT(ROW()-4,"000"))</f>
        <v/>
      </c>
      <c r="B191" s="53"/>
      <c r="C191" s="52"/>
      <c r="D191" s="52"/>
      <c r="E191" s="52"/>
      <c r="F191" s="52"/>
      <c r="G191" s="53"/>
      <c r="H191" s="52"/>
      <c r="I191" s="55"/>
      <c r="J191" s="55"/>
      <c r="K191" s="56" t="str">
        <f aca="false">IF(OR(F191="",I191=""),"",F191*I191+N(J191))</f>
        <v/>
      </c>
      <c r="L191" s="61" t="str">
        <f aca="false">IF(K191="","",INDEX(Settings!$B$14:$B$18,MATCH(K191,Settings!$A$14:$A$18,1)))</f>
        <v/>
      </c>
      <c r="M191" s="56" t="str">
        <f aca="false">IF(K191="","",CEILING(MAX(K191*(1+L191),K191+Settings!$B$5)/(1-Settings!$B$4),Settings!$B$6))</f>
        <v/>
      </c>
      <c r="N191" s="55"/>
      <c r="O191" s="56" t="str">
        <f aca="false">IF(K191="","",IF(N191="",M191,N191))</f>
        <v/>
      </c>
      <c r="P191" s="56" t="str">
        <f aca="false">IF(O191="","",O191*(1-Settings!$B$4)-K191)</f>
        <v/>
      </c>
      <c r="Q191" s="61" t="str">
        <f aca="false">IF(OR(O191="",O191=0),"",P191/O191)</f>
        <v/>
      </c>
      <c r="R191" s="52"/>
      <c r="S191" s="65" t="str">
        <f aca="false">IF(OR(B191="",R191="Paid",R191="Lost",R191="Shipped"),"",B191+Settings!$B$8)</f>
        <v/>
      </c>
      <c r="T191" s="10" t="str">
        <f aca="true">IF(OR(B191="",R191="Paid",R191="Lost"),"",TODAY()-B191)</f>
        <v/>
      </c>
      <c r="U191" s="53"/>
      <c r="V191" s="66"/>
    </row>
    <row r="192" customFormat="false" ht="15" hidden="false" customHeight="false" outlineLevel="0" collapsed="false">
      <c r="A192" s="10" t="str">
        <f aca="false">IF(B192="","","Q-"&amp;TEXT(ROW()-4,"000"))</f>
        <v/>
      </c>
      <c r="B192" s="53"/>
      <c r="C192" s="52"/>
      <c r="D192" s="52"/>
      <c r="E192" s="52"/>
      <c r="F192" s="52"/>
      <c r="G192" s="53"/>
      <c r="H192" s="52"/>
      <c r="I192" s="55"/>
      <c r="J192" s="55"/>
      <c r="K192" s="56" t="str">
        <f aca="false">IF(OR(F192="",I192=""),"",F192*I192+N(J192))</f>
        <v/>
      </c>
      <c r="L192" s="61" t="str">
        <f aca="false">IF(K192="","",INDEX(Settings!$B$14:$B$18,MATCH(K192,Settings!$A$14:$A$18,1)))</f>
        <v/>
      </c>
      <c r="M192" s="56" t="str">
        <f aca="false">IF(K192="","",CEILING(MAX(K192*(1+L192),K192+Settings!$B$5)/(1-Settings!$B$4),Settings!$B$6))</f>
        <v/>
      </c>
      <c r="N192" s="55"/>
      <c r="O192" s="56" t="str">
        <f aca="false">IF(K192="","",IF(N192="",M192,N192))</f>
        <v/>
      </c>
      <c r="P192" s="56" t="str">
        <f aca="false">IF(O192="","",O192*(1-Settings!$B$4)-K192)</f>
        <v/>
      </c>
      <c r="Q192" s="61" t="str">
        <f aca="false">IF(OR(O192="",O192=0),"",P192/O192)</f>
        <v/>
      </c>
      <c r="R192" s="52"/>
      <c r="S192" s="65" t="str">
        <f aca="false">IF(OR(B192="",R192="Paid",R192="Lost",R192="Shipped"),"",B192+Settings!$B$8)</f>
        <v/>
      </c>
      <c r="T192" s="10" t="str">
        <f aca="true">IF(OR(B192="",R192="Paid",R192="Lost"),"",TODAY()-B192)</f>
        <v/>
      </c>
      <c r="U192" s="53"/>
      <c r="V192" s="66"/>
    </row>
    <row r="193" customFormat="false" ht="15" hidden="false" customHeight="false" outlineLevel="0" collapsed="false">
      <c r="A193" s="10" t="str">
        <f aca="false">IF(B193="","","Q-"&amp;TEXT(ROW()-4,"000"))</f>
        <v/>
      </c>
      <c r="B193" s="53"/>
      <c r="C193" s="52"/>
      <c r="D193" s="52"/>
      <c r="E193" s="52"/>
      <c r="F193" s="52"/>
      <c r="G193" s="53"/>
      <c r="H193" s="52"/>
      <c r="I193" s="55"/>
      <c r="J193" s="55"/>
      <c r="K193" s="56" t="str">
        <f aca="false">IF(OR(F193="",I193=""),"",F193*I193+N(J193))</f>
        <v/>
      </c>
      <c r="L193" s="61" t="str">
        <f aca="false">IF(K193="","",INDEX(Settings!$B$14:$B$18,MATCH(K193,Settings!$A$14:$A$18,1)))</f>
        <v/>
      </c>
      <c r="M193" s="56" t="str">
        <f aca="false">IF(K193="","",CEILING(MAX(K193*(1+L193),K193+Settings!$B$5)/(1-Settings!$B$4),Settings!$B$6))</f>
        <v/>
      </c>
      <c r="N193" s="55"/>
      <c r="O193" s="56" t="str">
        <f aca="false">IF(K193="","",IF(N193="",M193,N193))</f>
        <v/>
      </c>
      <c r="P193" s="56" t="str">
        <f aca="false">IF(O193="","",O193*(1-Settings!$B$4)-K193)</f>
        <v/>
      </c>
      <c r="Q193" s="61" t="str">
        <f aca="false">IF(OR(O193="",O193=0),"",P193/O193)</f>
        <v/>
      </c>
      <c r="R193" s="52"/>
      <c r="S193" s="65" t="str">
        <f aca="false">IF(OR(B193="",R193="Paid",R193="Lost",R193="Shipped"),"",B193+Settings!$B$8)</f>
        <v/>
      </c>
      <c r="T193" s="10" t="str">
        <f aca="true">IF(OR(B193="",R193="Paid",R193="Lost"),"",TODAY()-B193)</f>
        <v/>
      </c>
      <c r="U193" s="53"/>
      <c r="V193" s="66"/>
    </row>
    <row r="194" customFormat="false" ht="15" hidden="false" customHeight="false" outlineLevel="0" collapsed="false">
      <c r="A194" s="10" t="str">
        <f aca="false">IF(B194="","","Q-"&amp;TEXT(ROW()-4,"000"))</f>
        <v/>
      </c>
      <c r="B194" s="53"/>
      <c r="C194" s="52"/>
      <c r="D194" s="52"/>
      <c r="E194" s="52"/>
      <c r="F194" s="52"/>
      <c r="G194" s="53"/>
      <c r="H194" s="52"/>
      <c r="I194" s="55"/>
      <c r="J194" s="55"/>
      <c r="K194" s="56" t="str">
        <f aca="false">IF(OR(F194="",I194=""),"",F194*I194+N(J194))</f>
        <v/>
      </c>
      <c r="L194" s="61" t="str">
        <f aca="false">IF(K194="","",INDEX(Settings!$B$14:$B$18,MATCH(K194,Settings!$A$14:$A$18,1)))</f>
        <v/>
      </c>
      <c r="M194" s="56" t="str">
        <f aca="false">IF(K194="","",CEILING(MAX(K194*(1+L194),K194+Settings!$B$5)/(1-Settings!$B$4),Settings!$B$6))</f>
        <v/>
      </c>
      <c r="N194" s="55"/>
      <c r="O194" s="56" t="str">
        <f aca="false">IF(K194="","",IF(N194="",M194,N194))</f>
        <v/>
      </c>
      <c r="P194" s="56" t="str">
        <f aca="false">IF(O194="","",O194*(1-Settings!$B$4)-K194)</f>
        <v/>
      </c>
      <c r="Q194" s="61" t="str">
        <f aca="false">IF(OR(O194="",O194=0),"",P194/O194)</f>
        <v/>
      </c>
      <c r="R194" s="52"/>
      <c r="S194" s="65" t="str">
        <f aca="false">IF(OR(B194="",R194="Paid",R194="Lost",R194="Shipped"),"",B194+Settings!$B$8)</f>
        <v/>
      </c>
      <c r="T194" s="10" t="str">
        <f aca="true">IF(OR(B194="",R194="Paid",R194="Lost"),"",TODAY()-B194)</f>
        <v/>
      </c>
      <c r="U194" s="53"/>
      <c r="V194" s="66"/>
    </row>
    <row r="195" customFormat="false" ht="15" hidden="false" customHeight="false" outlineLevel="0" collapsed="false">
      <c r="A195" s="10" t="str">
        <f aca="false">IF(B195="","","Q-"&amp;TEXT(ROW()-4,"000"))</f>
        <v/>
      </c>
      <c r="B195" s="53"/>
      <c r="C195" s="52"/>
      <c r="D195" s="52"/>
      <c r="E195" s="52"/>
      <c r="F195" s="52"/>
      <c r="G195" s="53"/>
      <c r="H195" s="52"/>
      <c r="I195" s="55"/>
      <c r="J195" s="55"/>
      <c r="K195" s="56" t="str">
        <f aca="false">IF(OR(F195="",I195=""),"",F195*I195+N(J195))</f>
        <v/>
      </c>
      <c r="L195" s="61" t="str">
        <f aca="false">IF(K195="","",INDEX(Settings!$B$14:$B$18,MATCH(K195,Settings!$A$14:$A$18,1)))</f>
        <v/>
      </c>
      <c r="M195" s="56" t="str">
        <f aca="false">IF(K195="","",CEILING(MAX(K195*(1+L195),K195+Settings!$B$5)/(1-Settings!$B$4),Settings!$B$6))</f>
        <v/>
      </c>
      <c r="N195" s="55"/>
      <c r="O195" s="56" t="str">
        <f aca="false">IF(K195="","",IF(N195="",M195,N195))</f>
        <v/>
      </c>
      <c r="P195" s="56" t="str">
        <f aca="false">IF(O195="","",O195*(1-Settings!$B$4)-K195)</f>
        <v/>
      </c>
      <c r="Q195" s="61" t="str">
        <f aca="false">IF(OR(O195="",O195=0),"",P195/O195)</f>
        <v/>
      </c>
      <c r="R195" s="52"/>
      <c r="S195" s="65" t="str">
        <f aca="false">IF(OR(B195="",R195="Paid",R195="Lost",R195="Shipped"),"",B195+Settings!$B$8)</f>
        <v/>
      </c>
      <c r="T195" s="10" t="str">
        <f aca="true">IF(OR(B195="",R195="Paid",R195="Lost"),"",TODAY()-B195)</f>
        <v/>
      </c>
      <c r="U195" s="53"/>
      <c r="V195" s="66"/>
    </row>
    <row r="196" customFormat="false" ht="15" hidden="false" customHeight="false" outlineLevel="0" collapsed="false">
      <c r="A196" s="10" t="str">
        <f aca="false">IF(B196="","","Q-"&amp;TEXT(ROW()-4,"000"))</f>
        <v/>
      </c>
      <c r="B196" s="53"/>
      <c r="C196" s="52"/>
      <c r="D196" s="52"/>
      <c r="E196" s="52"/>
      <c r="F196" s="52"/>
      <c r="G196" s="53"/>
      <c r="H196" s="52"/>
      <c r="I196" s="55"/>
      <c r="J196" s="55"/>
      <c r="K196" s="56" t="str">
        <f aca="false">IF(OR(F196="",I196=""),"",F196*I196+N(J196))</f>
        <v/>
      </c>
      <c r="L196" s="61" t="str">
        <f aca="false">IF(K196="","",INDEX(Settings!$B$14:$B$18,MATCH(K196,Settings!$A$14:$A$18,1)))</f>
        <v/>
      </c>
      <c r="M196" s="56" t="str">
        <f aca="false">IF(K196="","",CEILING(MAX(K196*(1+L196),K196+Settings!$B$5)/(1-Settings!$B$4),Settings!$B$6))</f>
        <v/>
      </c>
      <c r="N196" s="55"/>
      <c r="O196" s="56" t="str">
        <f aca="false">IF(K196="","",IF(N196="",M196,N196))</f>
        <v/>
      </c>
      <c r="P196" s="56" t="str">
        <f aca="false">IF(O196="","",O196*(1-Settings!$B$4)-K196)</f>
        <v/>
      </c>
      <c r="Q196" s="61" t="str">
        <f aca="false">IF(OR(O196="",O196=0),"",P196/O196)</f>
        <v/>
      </c>
      <c r="R196" s="52"/>
      <c r="S196" s="65" t="str">
        <f aca="false">IF(OR(B196="",R196="Paid",R196="Lost",R196="Shipped"),"",B196+Settings!$B$8)</f>
        <v/>
      </c>
      <c r="T196" s="10" t="str">
        <f aca="true">IF(OR(B196="",R196="Paid",R196="Lost"),"",TODAY()-B196)</f>
        <v/>
      </c>
      <c r="U196" s="53"/>
      <c r="V196" s="66"/>
    </row>
    <row r="197" customFormat="false" ht="15" hidden="false" customHeight="false" outlineLevel="0" collapsed="false">
      <c r="A197" s="10" t="str">
        <f aca="false">IF(B197="","","Q-"&amp;TEXT(ROW()-4,"000"))</f>
        <v/>
      </c>
      <c r="B197" s="53"/>
      <c r="C197" s="52"/>
      <c r="D197" s="52"/>
      <c r="E197" s="52"/>
      <c r="F197" s="52"/>
      <c r="G197" s="53"/>
      <c r="H197" s="52"/>
      <c r="I197" s="55"/>
      <c r="J197" s="55"/>
      <c r="K197" s="56" t="str">
        <f aca="false">IF(OR(F197="",I197=""),"",F197*I197+N(J197))</f>
        <v/>
      </c>
      <c r="L197" s="61" t="str">
        <f aca="false">IF(K197="","",INDEX(Settings!$B$14:$B$18,MATCH(K197,Settings!$A$14:$A$18,1)))</f>
        <v/>
      </c>
      <c r="M197" s="56" t="str">
        <f aca="false">IF(K197="","",CEILING(MAX(K197*(1+L197),K197+Settings!$B$5)/(1-Settings!$B$4),Settings!$B$6))</f>
        <v/>
      </c>
      <c r="N197" s="55"/>
      <c r="O197" s="56" t="str">
        <f aca="false">IF(K197="","",IF(N197="",M197,N197))</f>
        <v/>
      </c>
      <c r="P197" s="56" t="str">
        <f aca="false">IF(O197="","",O197*(1-Settings!$B$4)-K197)</f>
        <v/>
      </c>
      <c r="Q197" s="61" t="str">
        <f aca="false">IF(OR(O197="",O197=0),"",P197/O197)</f>
        <v/>
      </c>
      <c r="R197" s="52"/>
      <c r="S197" s="65" t="str">
        <f aca="false">IF(OR(B197="",R197="Paid",R197="Lost",R197="Shipped"),"",B197+Settings!$B$8)</f>
        <v/>
      </c>
      <c r="T197" s="10" t="str">
        <f aca="true">IF(OR(B197="",R197="Paid",R197="Lost"),"",TODAY()-B197)</f>
        <v/>
      </c>
      <c r="U197" s="53"/>
      <c r="V197" s="66"/>
    </row>
    <row r="198" customFormat="false" ht="15" hidden="false" customHeight="false" outlineLevel="0" collapsed="false">
      <c r="A198" s="10" t="str">
        <f aca="false">IF(B198="","","Q-"&amp;TEXT(ROW()-4,"000"))</f>
        <v/>
      </c>
      <c r="B198" s="53"/>
      <c r="C198" s="52"/>
      <c r="D198" s="52"/>
      <c r="E198" s="52"/>
      <c r="F198" s="52"/>
      <c r="G198" s="53"/>
      <c r="H198" s="52"/>
      <c r="I198" s="55"/>
      <c r="J198" s="55"/>
      <c r="K198" s="56" t="str">
        <f aca="false">IF(OR(F198="",I198=""),"",F198*I198+N(J198))</f>
        <v/>
      </c>
      <c r="L198" s="61" t="str">
        <f aca="false">IF(K198="","",INDEX(Settings!$B$14:$B$18,MATCH(K198,Settings!$A$14:$A$18,1)))</f>
        <v/>
      </c>
      <c r="M198" s="56" t="str">
        <f aca="false">IF(K198="","",CEILING(MAX(K198*(1+L198),K198+Settings!$B$5)/(1-Settings!$B$4),Settings!$B$6))</f>
        <v/>
      </c>
      <c r="N198" s="55"/>
      <c r="O198" s="56" t="str">
        <f aca="false">IF(K198="","",IF(N198="",M198,N198))</f>
        <v/>
      </c>
      <c r="P198" s="56" t="str">
        <f aca="false">IF(O198="","",O198*(1-Settings!$B$4)-K198)</f>
        <v/>
      </c>
      <c r="Q198" s="61" t="str">
        <f aca="false">IF(OR(O198="",O198=0),"",P198/O198)</f>
        <v/>
      </c>
      <c r="R198" s="52"/>
      <c r="S198" s="65" t="str">
        <f aca="false">IF(OR(B198="",R198="Paid",R198="Lost",R198="Shipped"),"",B198+Settings!$B$8)</f>
        <v/>
      </c>
      <c r="T198" s="10" t="str">
        <f aca="true">IF(OR(B198="",R198="Paid",R198="Lost"),"",TODAY()-B198)</f>
        <v/>
      </c>
      <c r="U198" s="53"/>
      <c r="V198" s="66"/>
    </row>
    <row r="199" customFormat="false" ht="15" hidden="false" customHeight="false" outlineLevel="0" collapsed="false">
      <c r="A199" s="10" t="str">
        <f aca="false">IF(B199="","","Q-"&amp;TEXT(ROW()-4,"000"))</f>
        <v/>
      </c>
      <c r="B199" s="53"/>
      <c r="C199" s="52"/>
      <c r="D199" s="52"/>
      <c r="E199" s="52"/>
      <c r="F199" s="52"/>
      <c r="G199" s="53"/>
      <c r="H199" s="52"/>
      <c r="I199" s="55"/>
      <c r="J199" s="55"/>
      <c r="K199" s="56" t="str">
        <f aca="false">IF(OR(F199="",I199=""),"",F199*I199+N(J199))</f>
        <v/>
      </c>
      <c r="L199" s="61" t="str">
        <f aca="false">IF(K199="","",INDEX(Settings!$B$14:$B$18,MATCH(K199,Settings!$A$14:$A$18,1)))</f>
        <v/>
      </c>
      <c r="M199" s="56" t="str">
        <f aca="false">IF(K199="","",CEILING(MAX(K199*(1+L199),K199+Settings!$B$5)/(1-Settings!$B$4),Settings!$B$6))</f>
        <v/>
      </c>
      <c r="N199" s="55"/>
      <c r="O199" s="56" t="str">
        <f aca="false">IF(K199="","",IF(N199="",M199,N199))</f>
        <v/>
      </c>
      <c r="P199" s="56" t="str">
        <f aca="false">IF(O199="","",O199*(1-Settings!$B$4)-K199)</f>
        <v/>
      </c>
      <c r="Q199" s="61" t="str">
        <f aca="false">IF(OR(O199="",O199=0),"",P199/O199)</f>
        <v/>
      </c>
      <c r="R199" s="52"/>
      <c r="S199" s="65" t="str">
        <f aca="false">IF(OR(B199="",R199="Paid",R199="Lost",R199="Shipped"),"",B199+Settings!$B$8)</f>
        <v/>
      </c>
      <c r="T199" s="10" t="str">
        <f aca="true">IF(OR(B199="",R199="Paid",R199="Lost"),"",TODAY()-B199)</f>
        <v/>
      </c>
      <c r="U199" s="53"/>
      <c r="V199" s="66"/>
    </row>
    <row r="200" customFormat="false" ht="15" hidden="false" customHeight="false" outlineLevel="0" collapsed="false">
      <c r="A200" s="10" t="str">
        <f aca="false">IF(B200="","","Q-"&amp;TEXT(ROW()-4,"000"))</f>
        <v/>
      </c>
      <c r="B200" s="53"/>
      <c r="C200" s="52"/>
      <c r="D200" s="52"/>
      <c r="E200" s="52"/>
      <c r="F200" s="52"/>
      <c r="G200" s="53"/>
      <c r="H200" s="52"/>
      <c r="I200" s="55"/>
      <c r="J200" s="55"/>
      <c r="K200" s="56" t="str">
        <f aca="false">IF(OR(F200="",I200=""),"",F200*I200+N(J200))</f>
        <v/>
      </c>
      <c r="L200" s="61" t="str">
        <f aca="false">IF(K200="","",INDEX(Settings!$B$14:$B$18,MATCH(K200,Settings!$A$14:$A$18,1)))</f>
        <v/>
      </c>
      <c r="M200" s="56" t="str">
        <f aca="false">IF(K200="","",CEILING(MAX(K200*(1+L200),K200+Settings!$B$5)/(1-Settings!$B$4),Settings!$B$6))</f>
        <v/>
      </c>
      <c r="N200" s="55"/>
      <c r="O200" s="56" t="str">
        <f aca="false">IF(K200="","",IF(N200="",M200,N200))</f>
        <v/>
      </c>
      <c r="P200" s="56" t="str">
        <f aca="false">IF(O200="","",O200*(1-Settings!$B$4)-K200)</f>
        <v/>
      </c>
      <c r="Q200" s="61" t="str">
        <f aca="false">IF(OR(O200="",O200=0),"",P200/O200)</f>
        <v/>
      </c>
      <c r="R200" s="52"/>
      <c r="S200" s="65" t="str">
        <f aca="false">IF(OR(B200="",R200="Paid",R200="Lost",R200="Shipped"),"",B200+Settings!$B$8)</f>
        <v/>
      </c>
      <c r="T200" s="10" t="str">
        <f aca="true">IF(OR(B200="",R200="Paid",R200="Lost"),"",TODAY()-B200)</f>
        <v/>
      </c>
      <c r="U200" s="53"/>
      <c r="V200" s="66"/>
    </row>
    <row r="201" customFormat="false" ht="15" hidden="false" customHeight="false" outlineLevel="0" collapsed="false">
      <c r="A201" s="10" t="str">
        <f aca="false">IF(B201="","","Q-"&amp;TEXT(ROW()-4,"000"))</f>
        <v/>
      </c>
      <c r="B201" s="53"/>
      <c r="C201" s="52"/>
      <c r="D201" s="52"/>
      <c r="E201" s="52"/>
      <c r="F201" s="52"/>
      <c r="G201" s="53"/>
      <c r="H201" s="52"/>
      <c r="I201" s="55"/>
      <c r="J201" s="55"/>
      <c r="K201" s="56" t="str">
        <f aca="false">IF(OR(F201="",I201=""),"",F201*I201+N(J201))</f>
        <v/>
      </c>
      <c r="L201" s="61" t="str">
        <f aca="false">IF(K201="","",INDEX(Settings!$B$14:$B$18,MATCH(K201,Settings!$A$14:$A$18,1)))</f>
        <v/>
      </c>
      <c r="M201" s="56" t="str">
        <f aca="false">IF(K201="","",CEILING(MAX(K201*(1+L201),K201+Settings!$B$5)/(1-Settings!$B$4),Settings!$B$6))</f>
        <v/>
      </c>
      <c r="N201" s="55"/>
      <c r="O201" s="56" t="str">
        <f aca="false">IF(K201="","",IF(N201="",M201,N201))</f>
        <v/>
      </c>
      <c r="P201" s="56" t="str">
        <f aca="false">IF(O201="","",O201*(1-Settings!$B$4)-K201)</f>
        <v/>
      </c>
      <c r="Q201" s="61" t="str">
        <f aca="false">IF(OR(O201="",O201=0),"",P201/O201)</f>
        <v/>
      </c>
      <c r="R201" s="52"/>
      <c r="S201" s="65" t="str">
        <f aca="false">IF(OR(B201="",R201="Paid",R201="Lost",R201="Shipped"),"",B201+Settings!$B$8)</f>
        <v/>
      </c>
      <c r="T201" s="10" t="str">
        <f aca="true">IF(OR(B201="",R201="Paid",R201="Lost"),"",TODAY()-B201)</f>
        <v/>
      </c>
      <c r="U201" s="53"/>
      <c r="V201" s="66"/>
    </row>
    <row r="202" customFormat="false" ht="15" hidden="false" customHeight="false" outlineLevel="0" collapsed="false">
      <c r="A202" s="10" t="str">
        <f aca="false">IF(B202="","","Q-"&amp;TEXT(ROW()-4,"000"))</f>
        <v/>
      </c>
      <c r="B202" s="53"/>
      <c r="C202" s="52"/>
      <c r="D202" s="52"/>
      <c r="E202" s="52"/>
      <c r="F202" s="52"/>
      <c r="G202" s="53"/>
      <c r="H202" s="52"/>
      <c r="I202" s="55"/>
      <c r="J202" s="55"/>
      <c r="K202" s="56" t="str">
        <f aca="false">IF(OR(F202="",I202=""),"",F202*I202+N(J202))</f>
        <v/>
      </c>
      <c r="L202" s="61" t="str">
        <f aca="false">IF(K202="","",INDEX(Settings!$B$14:$B$18,MATCH(K202,Settings!$A$14:$A$18,1)))</f>
        <v/>
      </c>
      <c r="M202" s="56" t="str">
        <f aca="false">IF(K202="","",CEILING(MAX(K202*(1+L202),K202+Settings!$B$5)/(1-Settings!$B$4),Settings!$B$6))</f>
        <v/>
      </c>
      <c r="N202" s="55"/>
      <c r="O202" s="56" t="str">
        <f aca="false">IF(K202="","",IF(N202="",M202,N202))</f>
        <v/>
      </c>
      <c r="P202" s="56" t="str">
        <f aca="false">IF(O202="","",O202*(1-Settings!$B$4)-K202)</f>
        <v/>
      </c>
      <c r="Q202" s="61" t="str">
        <f aca="false">IF(OR(O202="",O202=0),"",P202/O202)</f>
        <v/>
      </c>
      <c r="R202" s="52"/>
      <c r="S202" s="65" t="str">
        <f aca="false">IF(OR(B202="",R202="Paid",R202="Lost",R202="Shipped"),"",B202+Settings!$B$8)</f>
        <v/>
      </c>
      <c r="T202" s="10" t="str">
        <f aca="true">IF(OR(B202="",R202="Paid",R202="Lost"),"",TODAY()-B202)</f>
        <v/>
      </c>
      <c r="U202" s="53"/>
      <c r="V202" s="66"/>
    </row>
    <row r="203" customFormat="false" ht="15" hidden="false" customHeight="false" outlineLevel="0" collapsed="false">
      <c r="A203" s="10" t="str">
        <f aca="false">IF(B203="","","Q-"&amp;TEXT(ROW()-4,"000"))</f>
        <v/>
      </c>
      <c r="B203" s="53"/>
      <c r="C203" s="52"/>
      <c r="D203" s="52"/>
      <c r="E203" s="52"/>
      <c r="F203" s="52"/>
      <c r="G203" s="53"/>
      <c r="H203" s="52"/>
      <c r="I203" s="55"/>
      <c r="J203" s="55"/>
      <c r="K203" s="56" t="str">
        <f aca="false">IF(OR(F203="",I203=""),"",F203*I203+N(J203))</f>
        <v/>
      </c>
      <c r="L203" s="61" t="str">
        <f aca="false">IF(K203="","",INDEX(Settings!$B$14:$B$18,MATCH(K203,Settings!$A$14:$A$18,1)))</f>
        <v/>
      </c>
      <c r="M203" s="56" t="str">
        <f aca="false">IF(K203="","",CEILING(MAX(K203*(1+L203),K203+Settings!$B$5)/(1-Settings!$B$4),Settings!$B$6))</f>
        <v/>
      </c>
      <c r="N203" s="55"/>
      <c r="O203" s="56" t="str">
        <f aca="false">IF(K203="","",IF(N203="",M203,N203))</f>
        <v/>
      </c>
      <c r="P203" s="56" t="str">
        <f aca="false">IF(O203="","",O203*(1-Settings!$B$4)-K203)</f>
        <v/>
      </c>
      <c r="Q203" s="61" t="str">
        <f aca="false">IF(OR(O203="",O203=0),"",P203/O203)</f>
        <v/>
      </c>
      <c r="R203" s="52"/>
      <c r="S203" s="65" t="str">
        <f aca="false">IF(OR(B203="",R203="Paid",R203="Lost",R203="Shipped"),"",B203+Settings!$B$8)</f>
        <v/>
      </c>
      <c r="T203" s="10" t="str">
        <f aca="true">IF(OR(B203="",R203="Paid",R203="Lost"),"",TODAY()-B203)</f>
        <v/>
      </c>
      <c r="U203" s="53"/>
      <c r="V203" s="66"/>
    </row>
    <row r="204" customFormat="false" ht="15" hidden="false" customHeight="false" outlineLevel="0" collapsed="false">
      <c r="A204" s="10" t="str">
        <f aca="false">IF(B204="","","Q-"&amp;TEXT(ROW()-4,"000"))</f>
        <v/>
      </c>
      <c r="B204" s="53"/>
      <c r="C204" s="52"/>
      <c r="D204" s="52"/>
      <c r="E204" s="52"/>
      <c r="F204" s="52"/>
      <c r="G204" s="53"/>
      <c r="H204" s="52"/>
      <c r="I204" s="55"/>
      <c r="J204" s="55"/>
      <c r="K204" s="56" t="str">
        <f aca="false">IF(OR(F204="",I204=""),"",F204*I204+N(J204))</f>
        <v/>
      </c>
      <c r="L204" s="61" t="str">
        <f aca="false">IF(K204="","",INDEX(Settings!$B$14:$B$18,MATCH(K204,Settings!$A$14:$A$18,1)))</f>
        <v/>
      </c>
      <c r="M204" s="56" t="str">
        <f aca="false">IF(K204="","",CEILING(MAX(K204*(1+L204),K204+Settings!$B$5)/(1-Settings!$B$4),Settings!$B$6))</f>
        <v/>
      </c>
      <c r="N204" s="55"/>
      <c r="O204" s="56" t="str">
        <f aca="false">IF(K204="","",IF(N204="",M204,N204))</f>
        <v/>
      </c>
      <c r="P204" s="56" t="str">
        <f aca="false">IF(O204="","",O204*(1-Settings!$B$4)-K204)</f>
        <v/>
      </c>
      <c r="Q204" s="61" t="str">
        <f aca="false">IF(OR(O204="",O204=0),"",P204/O204)</f>
        <v/>
      </c>
      <c r="R204" s="52"/>
      <c r="S204" s="65" t="str">
        <f aca="false">IF(OR(B204="",R204="Paid",R204="Lost",R204="Shipped"),"",B204+Settings!$B$8)</f>
        <v/>
      </c>
      <c r="T204" s="10" t="str">
        <f aca="true">IF(OR(B204="",R204="Paid",R204="Lost"),"",TODAY()-B204)</f>
        <v/>
      </c>
      <c r="U204" s="53"/>
      <c r="V204" s="66"/>
    </row>
    <row r="205" customFormat="false" ht="15" hidden="false" customHeight="false" outlineLevel="0" collapsed="false">
      <c r="A205" s="10" t="str">
        <f aca="false">IF(B205="","","Q-"&amp;TEXT(ROW()-4,"000"))</f>
        <v/>
      </c>
      <c r="B205" s="53"/>
      <c r="C205" s="52"/>
      <c r="D205" s="52"/>
      <c r="E205" s="52"/>
      <c r="F205" s="52"/>
      <c r="G205" s="53"/>
      <c r="H205" s="52"/>
      <c r="I205" s="55"/>
      <c r="J205" s="55"/>
      <c r="K205" s="56" t="str">
        <f aca="false">IF(OR(F205="",I205=""),"",F205*I205+N(J205))</f>
        <v/>
      </c>
      <c r="L205" s="61" t="str">
        <f aca="false">IF(K205="","",INDEX(Settings!$B$14:$B$18,MATCH(K205,Settings!$A$14:$A$18,1)))</f>
        <v/>
      </c>
      <c r="M205" s="56" t="str">
        <f aca="false">IF(K205="","",CEILING(MAX(K205*(1+L205),K205+Settings!$B$5)/(1-Settings!$B$4),Settings!$B$6))</f>
        <v/>
      </c>
      <c r="N205" s="55"/>
      <c r="O205" s="56" t="str">
        <f aca="false">IF(K205="","",IF(N205="",M205,N205))</f>
        <v/>
      </c>
      <c r="P205" s="56" t="str">
        <f aca="false">IF(O205="","",O205*(1-Settings!$B$4)-K205)</f>
        <v/>
      </c>
      <c r="Q205" s="61" t="str">
        <f aca="false">IF(OR(O205="",O205=0),"",P205/O205)</f>
        <v/>
      </c>
      <c r="R205" s="52"/>
      <c r="S205" s="65" t="str">
        <f aca="false">IF(OR(B205="",R205="Paid",R205="Lost",R205="Shipped"),"",B205+Settings!$B$8)</f>
        <v/>
      </c>
      <c r="T205" s="10" t="str">
        <f aca="true">IF(OR(B205="",R205="Paid",R205="Lost"),"",TODAY()-B205)</f>
        <v/>
      </c>
      <c r="U205" s="53"/>
      <c r="V205" s="66"/>
    </row>
    <row r="206" customFormat="false" ht="15" hidden="false" customHeight="false" outlineLevel="0" collapsed="false">
      <c r="A206" s="10" t="str">
        <f aca="false">IF(B206="","","Q-"&amp;TEXT(ROW()-4,"000"))</f>
        <v/>
      </c>
      <c r="B206" s="53"/>
      <c r="C206" s="52"/>
      <c r="D206" s="52"/>
      <c r="E206" s="52"/>
      <c r="F206" s="52"/>
      <c r="G206" s="53"/>
      <c r="H206" s="52"/>
      <c r="I206" s="55"/>
      <c r="J206" s="55"/>
      <c r="K206" s="56" t="str">
        <f aca="false">IF(OR(F206="",I206=""),"",F206*I206+N(J206))</f>
        <v/>
      </c>
      <c r="L206" s="61" t="str">
        <f aca="false">IF(K206="","",INDEX(Settings!$B$14:$B$18,MATCH(K206,Settings!$A$14:$A$18,1)))</f>
        <v/>
      </c>
      <c r="M206" s="56" t="str">
        <f aca="false">IF(K206="","",CEILING(MAX(K206*(1+L206),K206+Settings!$B$5)/(1-Settings!$B$4),Settings!$B$6))</f>
        <v/>
      </c>
      <c r="N206" s="55"/>
      <c r="O206" s="56" t="str">
        <f aca="false">IF(K206="","",IF(N206="",M206,N206))</f>
        <v/>
      </c>
      <c r="P206" s="56" t="str">
        <f aca="false">IF(O206="","",O206*(1-Settings!$B$4)-K206)</f>
        <v/>
      </c>
      <c r="Q206" s="61" t="str">
        <f aca="false">IF(OR(O206="",O206=0),"",P206/O206)</f>
        <v/>
      </c>
      <c r="R206" s="52"/>
      <c r="S206" s="65" t="str">
        <f aca="false">IF(OR(B206="",R206="Paid",R206="Lost",R206="Shipped"),"",B206+Settings!$B$8)</f>
        <v/>
      </c>
      <c r="T206" s="10" t="str">
        <f aca="true">IF(OR(B206="",R206="Paid",R206="Lost"),"",TODAY()-B206)</f>
        <v/>
      </c>
      <c r="U206" s="53"/>
      <c r="V206" s="66"/>
    </row>
    <row r="207" customFormat="false" ht="15" hidden="false" customHeight="false" outlineLevel="0" collapsed="false">
      <c r="A207" s="10" t="str">
        <f aca="false">IF(B207="","","Q-"&amp;TEXT(ROW()-4,"000"))</f>
        <v/>
      </c>
      <c r="B207" s="53"/>
      <c r="C207" s="52"/>
      <c r="D207" s="52"/>
      <c r="E207" s="52"/>
      <c r="F207" s="52"/>
      <c r="G207" s="53"/>
      <c r="H207" s="52"/>
      <c r="I207" s="55"/>
      <c r="J207" s="55"/>
      <c r="K207" s="56" t="str">
        <f aca="false">IF(OR(F207="",I207=""),"",F207*I207+N(J207))</f>
        <v/>
      </c>
      <c r="L207" s="61" t="str">
        <f aca="false">IF(K207="","",INDEX(Settings!$B$14:$B$18,MATCH(K207,Settings!$A$14:$A$18,1)))</f>
        <v/>
      </c>
      <c r="M207" s="56" t="str">
        <f aca="false">IF(K207="","",CEILING(MAX(K207*(1+L207),K207+Settings!$B$5)/(1-Settings!$B$4),Settings!$B$6))</f>
        <v/>
      </c>
      <c r="N207" s="55"/>
      <c r="O207" s="56" t="str">
        <f aca="false">IF(K207="","",IF(N207="",M207,N207))</f>
        <v/>
      </c>
      <c r="P207" s="56" t="str">
        <f aca="false">IF(O207="","",O207*(1-Settings!$B$4)-K207)</f>
        <v/>
      </c>
      <c r="Q207" s="61" t="str">
        <f aca="false">IF(OR(O207="",O207=0),"",P207/O207)</f>
        <v/>
      </c>
      <c r="R207" s="52"/>
      <c r="S207" s="65" t="str">
        <f aca="false">IF(OR(B207="",R207="Paid",R207="Lost",R207="Shipped"),"",B207+Settings!$B$8)</f>
        <v/>
      </c>
      <c r="T207" s="10" t="str">
        <f aca="true">IF(OR(B207="",R207="Paid",R207="Lost"),"",TODAY()-B207)</f>
        <v/>
      </c>
      <c r="U207" s="53"/>
      <c r="V207" s="66"/>
    </row>
    <row r="208" customFormat="false" ht="15" hidden="false" customHeight="false" outlineLevel="0" collapsed="false">
      <c r="A208" s="10" t="str">
        <f aca="false">IF(B208="","","Q-"&amp;TEXT(ROW()-4,"000"))</f>
        <v/>
      </c>
      <c r="B208" s="53"/>
      <c r="C208" s="52"/>
      <c r="D208" s="52"/>
      <c r="E208" s="52"/>
      <c r="F208" s="52"/>
      <c r="G208" s="53"/>
      <c r="H208" s="52"/>
      <c r="I208" s="55"/>
      <c r="J208" s="55"/>
      <c r="K208" s="56" t="str">
        <f aca="false">IF(OR(F208="",I208=""),"",F208*I208+N(J208))</f>
        <v/>
      </c>
      <c r="L208" s="61" t="str">
        <f aca="false">IF(K208="","",INDEX(Settings!$B$14:$B$18,MATCH(K208,Settings!$A$14:$A$18,1)))</f>
        <v/>
      </c>
      <c r="M208" s="56" t="str">
        <f aca="false">IF(K208="","",CEILING(MAX(K208*(1+L208),K208+Settings!$B$5)/(1-Settings!$B$4),Settings!$B$6))</f>
        <v/>
      </c>
      <c r="N208" s="55"/>
      <c r="O208" s="56" t="str">
        <f aca="false">IF(K208="","",IF(N208="",M208,N208))</f>
        <v/>
      </c>
      <c r="P208" s="56" t="str">
        <f aca="false">IF(O208="","",O208*(1-Settings!$B$4)-K208)</f>
        <v/>
      </c>
      <c r="Q208" s="61" t="str">
        <f aca="false">IF(OR(O208="",O208=0),"",P208/O208)</f>
        <v/>
      </c>
      <c r="R208" s="52"/>
      <c r="S208" s="65" t="str">
        <f aca="false">IF(OR(B208="",R208="Paid",R208="Lost",R208="Shipped"),"",B208+Settings!$B$8)</f>
        <v/>
      </c>
      <c r="T208" s="10" t="str">
        <f aca="true">IF(OR(B208="",R208="Paid",R208="Lost"),"",TODAY()-B208)</f>
        <v/>
      </c>
      <c r="U208" s="53"/>
      <c r="V208" s="66"/>
    </row>
    <row r="209" customFormat="false" ht="15" hidden="false" customHeight="false" outlineLevel="0" collapsed="false">
      <c r="A209" s="10" t="str">
        <f aca="false">IF(B209="","","Q-"&amp;TEXT(ROW()-4,"000"))</f>
        <v/>
      </c>
      <c r="B209" s="53"/>
      <c r="C209" s="52"/>
      <c r="D209" s="52"/>
      <c r="E209" s="52"/>
      <c r="F209" s="52"/>
      <c r="G209" s="53"/>
      <c r="H209" s="52"/>
      <c r="I209" s="55"/>
      <c r="J209" s="55"/>
      <c r="K209" s="56" t="str">
        <f aca="false">IF(OR(F209="",I209=""),"",F209*I209+N(J209))</f>
        <v/>
      </c>
      <c r="L209" s="61" t="str">
        <f aca="false">IF(K209="","",INDEX(Settings!$B$14:$B$18,MATCH(K209,Settings!$A$14:$A$18,1)))</f>
        <v/>
      </c>
      <c r="M209" s="56" t="str">
        <f aca="false">IF(K209="","",CEILING(MAX(K209*(1+L209),K209+Settings!$B$5)/(1-Settings!$B$4),Settings!$B$6))</f>
        <v/>
      </c>
      <c r="N209" s="55"/>
      <c r="O209" s="56" t="str">
        <f aca="false">IF(K209="","",IF(N209="",M209,N209))</f>
        <v/>
      </c>
      <c r="P209" s="56" t="str">
        <f aca="false">IF(O209="","",O209*(1-Settings!$B$4)-K209)</f>
        <v/>
      </c>
      <c r="Q209" s="61" t="str">
        <f aca="false">IF(OR(O209="",O209=0),"",P209/O209)</f>
        <v/>
      </c>
      <c r="R209" s="52"/>
      <c r="S209" s="65" t="str">
        <f aca="false">IF(OR(B209="",R209="Paid",R209="Lost",R209="Shipped"),"",B209+Settings!$B$8)</f>
        <v/>
      </c>
      <c r="T209" s="10" t="str">
        <f aca="true">IF(OR(B209="",R209="Paid",R209="Lost"),"",TODAY()-B209)</f>
        <v/>
      </c>
      <c r="U209" s="53"/>
      <c r="V209" s="66"/>
    </row>
    <row r="210" customFormat="false" ht="15" hidden="false" customHeight="false" outlineLevel="0" collapsed="false">
      <c r="A210" s="10" t="str">
        <f aca="false">IF(B210="","","Q-"&amp;TEXT(ROW()-4,"000"))</f>
        <v/>
      </c>
      <c r="B210" s="53"/>
      <c r="C210" s="52"/>
      <c r="D210" s="52"/>
      <c r="E210" s="52"/>
      <c r="F210" s="52"/>
      <c r="G210" s="53"/>
      <c r="H210" s="52"/>
      <c r="I210" s="55"/>
      <c r="J210" s="55"/>
      <c r="K210" s="56" t="str">
        <f aca="false">IF(OR(F210="",I210=""),"",F210*I210+N(J210))</f>
        <v/>
      </c>
      <c r="L210" s="61" t="str">
        <f aca="false">IF(K210="","",INDEX(Settings!$B$14:$B$18,MATCH(K210,Settings!$A$14:$A$18,1)))</f>
        <v/>
      </c>
      <c r="M210" s="56" t="str">
        <f aca="false">IF(K210="","",CEILING(MAX(K210*(1+L210),K210+Settings!$B$5)/(1-Settings!$B$4),Settings!$B$6))</f>
        <v/>
      </c>
      <c r="N210" s="55"/>
      <c r="O210" s="56" t="str">
        <f aca="false">IF(K210="","",IF(N210="",M210,N210))</f>
        <v/>
      </c>
      <c r="P210" s="56" t="str">
        <f aca="false">IF(O210="","",O210*(1-Settings!$B$4)-K210)</f>
        <v/>
      </c>
      <c r="Q210" s="61" t="str">
        <f aca="false">IF(OR(O210="",O210=0),"",P210/O210)</f>
        <v/>
      </c>
      <c r="R210" s="52"/>
      <c r="S210" s="65" t="str">
        <f aca="false">IF(OR(B210="",R210="Paid",R210="Lost",R210="Shipped"),"",B210+Settings!$B$8)</f>
        <v/>
      </c>
      <c r="T210" s="10" t="str">
        <f aca="true">IF(OR(B210="",R210="Paid",R210="Lost"),"",TODAY()-B210)</f>
        <v/>
      </c>
      <c r="U210" s="53"/>
      <c r="V210" s="66"/>
    </row>
    <row r="211" customFormat="false" ht="15" hidden="false" customHeight="false" outlineLevel="0" collapsed="false">
      <c r="A211" s="10" t="str">
        <f aca="false">IF(B211="","","Q-"&amp;TEXT(ROW()-4,"000"))</f>
        <v/>
      </c>
      <c r="B211" s="53"/>
      <c r="C211" s="52"/>
      <c r="D211" s="52"/>
      <c r="E211" s="52"/>
      <c r="F211" s="52"/>
      <c r="G211" s="53"/>
      <c r="H211" s="52"/>
      <c r="I211" s="55"/>
      <c r="J211" s="55"/>
      <c r="K211" s="56" t="str">
        <f aca="false">IF(OR(F211="",I211=""),"",F211*I211+N(J211))</f>
        <v/>
      </c>
      <c r="L211" s="61" t="str">
        <f aca="false">IF(K211="","",INDEX(Settings!$B$14:$B$18,MATCH(K211,Settings!$A$14:$A$18,1)))</f>
        <v/>
      </c>
      <c r="M211" s="56" t="str">
        <f aca="false">IF(K211="","",CEILING(MAX(K211*(1+L211),K211+Settings!$B$5)/(1-Settings!$B$4),Settings!$B$6))</f>
        <v/>
      </c>
      <c r="N211" s="55"/>
      <c r="O211" s="56" t="str">
        <f aca="false">IF(K211="","",IF(N211="",M211,N211))</f>
        <v/>
      </c>
      <c r="P211" s="56" t="str">
        <f aca="false">IF(O211="","",O211*(1-Settings!$B$4)-K211)</f>
        <v/>
      </c>
      <c r="Q211" s="61" t="str">
        <f aca="false">IF(OR(O211="",O211=0),"",P211/O211)</f>
        <v/>
      </c>
      <c r="R211" s="52"/>
      <c r="S211" s="65" t="str">
        <f aca="false">IF(OR(B211="",R211="Paid",R211="Lost",R211="Shipped"),"",B211+Settings!$B$8)</f>
        <v/>
      </c>
      <c r="T211" s="10" t="str">
        <f aca="true">IF(OR(B211="",R211="Paid",R211="Lost"),"",TODAY()-B211)</f>
        <v/>
      </c>
      <c r="U211" s="53"/>
      <c r="V211" s="66"/>
    </row>
    <row r="212" customFormat="false" ht="15" hidden="false" customHeight="false" outlineLevel="0" collapsed="false">
      <c r="A212" s="10" t="str">
        <f aca="false">IF(B212="","","Q-"&amp;TEXT(ROW()-4,"000"))</f>
        <v/>
      </c>
      <c r="B212" s="53"/>
      <c r="C212" s="52"/>
      <c r="D212" s="52"/>
      <c r="E212" s="52"/>
      <c r="F212" s="52"/>
      <c r="G212" s="53"/>
      <c r="H212" s="52"/>
      <c r="I212" s="55"/>
      <c r="J212" s="55"/>
      <c r="K212" s="56" t="str">
        <f aca="false">IF(OR(F212="",I212=""),"",F212*I212+N(J212))</f>
        <v/>
      </c>
      <c r="L212" s="61" t="str">
        <f aca="false">IF(K212="","",INDEX(Settings!$B$14:$B$18,MATCH(K212,Settings!$A$14:$A$18,1)))</f>
        <v/>
      </c>
      <c r="M212" s="56" t="str">
        <f aca="false">IF(K212="","",CEILING(MAX(K212*(1+L212),K212+Settings!$B$5)/(1-Settings!$B$4),Settings!$B$6))</f>
        <v/>
      </c>
      <c r="N212" s="55"/>
      <c r="O212" s="56" t="str">
        <f aca="false">IF(K212="","",IF(N212="",M212,N212))</f>
        <v/>
      </c>
      <c r="P212" s="56" t="str">
        <f aca="false">IF(O212="","",O212*(1-Settings!$B$4)-K212)</f>
        <v/>
      </c>
      <c r="Q212" s="61" t="str">
        <f aca="false">IF(OR(O212="",O212=0),"",P212/O212)</f>
        <v/>
      </c>
      <c r="R212" s="52"/>
      <c r="S212" s="65" t="str">
        <f aca="false">IF(OR(B212="",R212="Paid",R212="Lost",R212="Shipped"),"",B212+Settings!$B$8)</f>
        <v/>
      </c>
      <c r="T212" s="10" t="str">
        <f aca="true">IF(OR(B212="",R212="Paid",R212="Lost"),"",TODAY()-B212)</f>
        <v/>
      </c>
      <c r="U212" s="53"/>
      <c r="V212" s="66"/>
    </row>
    <row r="213" customFormat="false" ht="15" hidden="false" customHeight="false" outlineLevel="0" collapsed="false">
      <c r="A213" s="10" t="str">
        <f aca="false">IF(B213="","","Q-"&amp;TEXT(ROW()-4,"000"))</f>
        <v/>
      </c>
      <c r="B213" s="53"/>
      <c r="C213" s="52"/>
      <c r="D213" s="52"/>
      <c r="E213" s="52"/>
      <c r="F213" s="52"/>
      <c r="G213" s="53"/>
      <c r="H213" s="52"/>
      <c r="I213" s="55"/>
      <c r="J213" s="55"/>
      <c r="K213" s="56" t="str">
        <f aca="false">IF(OR(F213="",I213=""),"",F213*I213+N(J213))</f>
        <v/>
      </c>
      <c r="L213" s="61" t="str">
        <f aca="false">IF(K213="","",INDEX(Settings!$B$14:$B$18,MATCH(K213,Settings!$A$14:$A$18,1)))</f>
        <v/>
      </c>
      <c r="M213" s="56" t="str">
        <f aca="false">IF(K213="","",CEILING(MAX(K213*(1+L213),K213+Settings!$B$5)/(1-Settings!$B$4),Settings!$B$6))</f>
        <v/>
      </c>
      <c r="N213" s="55"/>
      <c r="O213" s="56" t="str">
        <f aca="false">IF(K213="","",IF(N213="",M213,N213))</f>
        <v/>
      </c>
      <c r="P213" s="56" t="str">
        <f aca="false">IF(O213="","",O213*(1-Settings!$B$4)-K213)</f>
        <v/>
      </c>
      <c r="Q213" s="61" t="str">
        <f aca="false">IF(OR(O213="",O213=0),"",P213/O213)</f>
        <v/>
      </c>
      <c r="R213" s="52"/>
      <c r="S213" s="65" t="str">
        <f aca="false">IF(OR(B213="",R213="Paid",R213="Lost",R213="Shipped"),"",B213+Settings!$B$8)</f>
        <v/>
      </c>
      <c r="T213" s="10" t="str">
        <f aca="true">IF(OR(B213="",R213="Paid",R213="Lost"),"",TODAY()-B213)</f>
        <v/>
      </c>
      <c r="U213" s="53"/>
      <c r="V213" s="66"/>
    </row>
    <row r="214" customFormat="false" ht="15" hidden="false" customHeight="false" outlineLevel="0" collapsed="false">
      <c r="A214" s="10" t="str">
        <f aca="false">IF(B214="","","Q-"&amp;TEXT(ROW()-4,"000"))</f>
        <v/>
      </c>
      <c r="B214" s="53"/>
      <c r="C214" s="52"/>
      <c r="D214" s="52"/>
      <c r="E214" s="52"/>
      <c r="F214" s="52"/>
      <c r="G214" s="53"/>
      <c r="H214" s="52"/>
      <c r="I214" s="55"/>
      <c r="J214" s="55"/>
      <c r="K214" s="56" t="str">
        <f aca="false">IF(OR(F214="",I214=""),"",F214*I214+N(J214))</f>
        <v/>
      </c>
      <c r="L214" s="61" t="str">
        <f aca="false">IF(K214="","",INDEX(Settings!$B$14:$B$18,MATCH(K214,Settings!$A$14:$A$18,1)))</f>
        <v/>
      </c>
      <c r="M214" s="56" t="str">
        <f aca="false">IF(K214="","",CEILING(MAX(K214*(1+L214),K214+Settings!$B$5)/(1-Settings!$B$4),Settings!$B$6))</f>
        <v/>
      </c>
      <c r="N214" s="55"/>
      <c r="O214" s="56" t="str">
        <f aca="false">IF(K214="","",IF(N214="",M214,N214))</f>
        <v/>
      </c>
      <c r="P214" s="56" t="str">
        <f aca="false">IF(O214="","",O214*(1-Settings!$B$4)-K214)</f>
        <v/>
      </c>
      <c r="Q214" s="61" t="str">
        <f aca="false">IF(OR(O214="",O214=0),"",P214/O214)</f>
        <v/>
      </c>
      <c r="R214" s="52"/>
      <c r="S214" s="65" t="str">
        <f aca="false">IF(OR(B214="",R214="Paid",R214="Lost",R214="Shipped"),"",B214+Settings!$B$8)</f>
        <v/>
      </c>
      <c r="T214" s="10" t="str">
        <f aca="true">IF(OR(B214="",R214="Paid",R214="Lost"),"",TODAY()-B214)</f>
        <v/>
      </c>
      <c r="U214" s="53"/>
      <c r="V214" s="66"/>
    </row>
    <row r="215" customFormat="false" ht="15" hidden="false" customHeight="false" outlineLevel="0" collapsed="false">
      <c r="A215" s="10" t="str">
        <f aca="false">IF(B215="","","Q-"&amp;TEXT(ROW()-4,"000"))</f>
        <v/>
      </c>
      <c r="B215" s="53"/>
      <c r="C215" s="52"/>
      <c r="D215" s="52"/>
      <c r="E215" s="52"/>
      <c r="F215" s="52"/>
      <c r="G215" s="53"/>
      <c r="H215" s="52"/>
      <c r="I215" s="55"/>
      <c r="J215" s="55"/>
      <c r="K215" s="56" t="str">
        <f aca="false">IF(OR(F215="",I215=""),"",F215*I215+N(J215))</f>
        <v/>
      </c>
      <c r="L215" s="61" t="str">
        <f aca="false">IF(K215="","",INDEX(Settings!$B$14:$B$18,MATCH(K215,Settings!$A$14:$A$18,1)))</f>
        <v/>
      </c>
      <c r="M215" s="56" t="str">
        <f aca="false">IF(K215="","",CEILING(MAX(K215*(1+L215),K215+Settings!$B$5)/(1-Settings!$B$4),Settings!$B$6))</f>
        <v/>
      </c>
      <c r="N215" s="55"/>
      <c r="O215" s="56" t="str">
        <f aca="false">IF(K215="","",IF(N215="",M215,N215))</f>
        <v/>
      </c>
      <c r="P215" s="56" t="str">
        <f aca="false">IF(O215="","",O215*(1-Settings!$B$4)-K215)</f>
        <v/>
      </c>
      <c r="Q215" s="61" t="str">
        <f aca="false">IF(OR(O215="",O215=0),"",P215/O215)</f>
        <v/>
      </c>
      <c r="R215" s="52"/>
      <c r="S215" s="65" t="str">
        <f aca="false">IF(OR(B215="",R215="Paid",R215="Lost",R215="Shipped"),"",B215+Settings!$B$8)</f>
        <v/>
      </c>
      <c r="T215" s="10" t="str">
        <f aca="true">IF(OR(B215="",R215="Paid",R215="Lost"),"",TODAY()-B215)</f>
        <v/>
      </c>
      <c r="U215" s="53"/>
      <c r="V215" s="66"/>
    </row>
    <row r="216" customFormat="false" ht="15" hidden="false" customHeight="false" outlineLevel="0" collapsed="false">
      <c r="A216" s="10" t="str">
        <f aca="false">IF(B216="","","Q-"&amp;TEXT(ROW()-4,"000"))</f>
        <v/>
      </c>
      <c r="B216" s="53"/>
      <c r="C216" s="52"/>
      <c r="D216" s="52"/>
      <c r="E216" s="52"/>
      <c r="F216" s="52"/>
      <c r="G216" s="53"/>
      <c r="H216" s="52"/>
      <c r="I216" s="55"/>
      <c r="J216" s="55"/>
      <c r="K216" s="56" t="str">
        <f aca="false">IF(OR(F216="",I216=""),"",F216*I216+N(J216))</f>
        <v/>
      </c>
      <c r="L216" s="61" t="str">
        <f aca="false">IF(K216="","",INDEX(Settings!$B$14:$B$18,MATCH(K216,Settings!$A$14:$A$18,1)))</f>
        <v/>
      </c>
      <c r="M216" s="56" t="str">
        <f aca="false">IF(K216="","",CEILING(MAX(K216*(1+L216),K216+Settings!$B$5)/(1-Settings!$B$4),Settings!$B$6))</f>
        <v/>
      </c>
      <c r="N216" s="55"/>
      <c r="O216" s="56" t="str">
        <f aca="false">IF(K216="","",IF(N216="",M216,N216))</f>
        <v/>
      </c>
      <c r="P216" s="56" t="str">
        <f aca="false">IF(O216="","",O216*(1-Settings!$B$4)-K216)</f>
        <v/>
      </c>
      <c r="Q216" s="61" t="str">
        <f aca="false">IF(OR(O216="",O216=0),"",P216/O216)</f>
        <v/>
      </c>
      <c r="R216" s="52"/>
      <c r="S216" s="65" t="str">
        <f aca="false">IF(OR(B216="",R216="Paid",R216="Lost",R216="Shipped"),"",B216+Settings!$B$8)</f>
        <v/>
      </c>
      <c r="T216" s="10" t="str">
        <f aca="true">IF(OR(B216="",R216="Paid",R216="Lost"),"",TODAY()-B216)</f>
        <v/>
      </c>
      <c r="U216" s="53"/>
      <c r="V216" s="66"/>
    </row>
    <row r="217" customFormat="false" ht="15" hidden="false" customHeight="false" outlineLevel="0" collapsed="false">
      <c r="A217" s="10" t="str">
        <f aca="false">IF(B217="","","Q-"&amp;TEXT(ROW()-4,"000"))</f>
        <v/>
      </c>
      <c r="B217" s="53"/>
      <c r="C217" s="52"/>
      <c r="D217" s="52"/>
      <c r="E217" s="52"/>
      <c r="F217" s="52"/>
      <c r="G217" s="53"/>
      <c r="H217" s="52"/>
      <c r="I217" s="55"/>
      <c r="J217" s="55"/>
      <c r="K217" s="56" t="str">
        <f aca="false">IF(OR(F217="",I217=""),"",F217*I217+N(J217))</f>
        <v/>
      </c>
      <c r="L217" s="61" t="str">
        <f aca="false">IF(K217="","",INDEX(Settings!$B$14:$B$18,MATCH(K217,Settings!$A$14:$A$18,1)))</f>
        <v/>
      </c>
      <c r="M217" s="56" t="str">
        <f aca="false">IF(K217="","",CEILING(MAX(K217*(1+L217),K217+Settings!$B$5)/(1-Settings!$B$4),Settings!$B$6))</f>
        <v/>
      </c>
      <c r="N217" s="55"/>
      <c r="O217" s="56" t="str">
        <f aca="false">IF(K217="","",IF(N217="",M217,N217))</f>
        <v/>
      </c>
      <c r="P217" s="56" t="str">
        <f aca="false">IF(O217="","",O217*(1-Settings!$B$4)-K217)</f>
        <v/>
      </c>
      <c r="Q217" s="61" t="str">
        <f aca="false">IF(OR(O217="",O217=0),"",P217/O217)</f>
        <v/>
      </c>
      <c r="R217" s="52"/>
      <c r="S217" s="65" t="str">
        <f aca="false">IF(OR(B217="",R217="Paid",R217="Lost",R217="Shipped"),"",B217+Settings!$B$8)</f>
        <v/>
      </c>
      <c r="T217" s="10" t="str">
        <f aca="true">IF(OR(B217="",R217="Paid",R217="Lost"),"",TODAY()-B217)</f>
        <v/>
      </c>
      <c r="U217" s="53"/>
      <c r="V217" s="66"/>
    </row>
    <row r="218" customFormat="false" ht="15" hidden="false" customHeight="false" outlineLevel="0" collapsed="false">
      <c r="A218" s="10" t="str">
        <f aca="false">IF(B218="","","Q-"&amp;TEXT(ROW()-4,"000"))</f>
        <v/>
      </c>
      <c r="B218" s="53"/>
      <c r="C218" s="52"/>
      <c r="D218" s="52"/>
      <c r="E218" s="52"/>
      <c r="F218" s="52"/>
      <c r="G218" s="53"/>
      <c r="H218" s="52"/>
      <c r="I218" s="55"/>
      <c r="J218" s="55"/>
      <c r="K218" s="56" t="str">
        <f aca="false">IF(OR(F218="",I218=""),"",F218*I218+N(J218))</f>
        <v/>
      </c>
      <c r="L218" s="61" t="str">
        <f aca="false">IF(K218="","",INDEX(Settings!$B$14:$B$18,MATCH(K218,Settings!$A$14:$A$18,1)))</f>
        <v/>
      </c>
      <c r="M218" s="56" t="str">
        <f aca="false">IF(K218="","",CEILING(MAX(K218*(1+L218),K218+Settings!$B$5)/(1-Settings!$B$4),Settings!$B$6))</f>
        <v/>
      </c>
      <c r="N218" s="55"/>
      <c r="O218" s="56" t="str">
        <f aca="false">IF(K218="","",IF(N218="",M218,N218))</f>
        <v/>
      </c>
      <c r="P218" s="56" t="str">
        <f aca="false">IF(O218="","",O218*(1-Settings!$B$4)-K218)</f>
        <v/>
      </c>
      <c r="Q218" s="61" t="str">
        <f aca="false">IF(OR(O218="",O218=0),"",P218/O218)</f>
        <v/>
      </c>
      <c r="R218" s="52"/>
      <c r="S218" s="65" t="str">
        <f aca="false">IF(OR(B218="",R218="Paid",R218="Lost",R218="Shipped"),"",B218+Settings!$B$8)</f>
        <v/>
      </c>
      <c r="T218" s="10" t="str">
        <f aca="true">IF(OR(B218="",R218="Paid",R218="Lost"),"",TODAY()-B218)</f>
        <v/>
      </c>
      <c r="U218" s="53"/>
      <c r="V218" s="66"/>
    </row>
    <row r="219" customFormat="false" ht="15" hidden="false" customHeight="false" outlineLevel="0" collapsed="false">
      <c r="A219" s="10" t="str">
        <f aca="false">IF(B219="","","Q-"&amp;TEXT(ROW()-4,"000"))</f>
        <v/>
      </c>
      <c r="B219" s="53"/>
      <c r="C219" s="52"/>
      <c r="D219" s="52"/>
      <c r="E219" s="52"/>
      <c r="F219" s="52"/>
      <c r="G219" s="53"/>
      <c r="H219" s="52"/>
      <c r="I219" s="55"/>
      <c r="J219" s="55"/>
      <c r="K219" s="56" t="str">
        <f aca="false">IF(OR(F219="",I219=""),"",F219*I219+N(J219))</f>
        <v/>
      </c>
      <c r="L219" s="61" t="str">
        <f aca="false">IF(K219="","",INDEX(Settings!$B$14:$B$18,MATCH(K219,Settings!$A$14:$A$18,1)))</f>
        <v/>
      </c>
      <c r="M219" s="56" t="str">
        <f aca="false">IF(K219="","",CEILING(MAX(K219*(1+L219),K219+Settings!$B$5)/(1-Settings!$B$4),Settings!$B$6))</f>
        <v/>
      </c>
      <c r="N219" s="55"/>
      <c r="O219" s="56" t="str">
        <f aca="false">IF(K219="","",IF(N219="",M219,N219))</f>
        <v/>
      </c>
      <c r="P219" s="56" t="str">
        <f aca="false">IF(O219="","",O219*(1-Settings!$B$4)-K219)</f>
        <v/>
      </c>
      <c r="Q219" s="61" t="str">
        <f aca="false">IF(OR(O219="",O219=0),"",P219/O219)</f>
        <v/>
      </c>
      <c r="R219" s="52"/>
      <c r="S219" s="65" t="str">
        <f aca="false">IF(OR(B219="",R219="Paid",R219="Lost",R219="Shipped"),"",B219+Settings!$B$8)</f>
        <v/>
      </c>
      <c r="T219" s="10" t="str">
        <f aca="true">IF(OR(B219="",R219="Paid",R219="Lost"),"",TODAY()-B219)</f>
        <v/>
      </c>
      <c r="U219" s="53"/>
      <c r="V219" s="66"/>
    </row>
    <row r="220" customFormat="false" ht="15" hidden="false" customHeight="false" outlineLevel="0" collapsed="false">
      <c r="A220" s="10" t="str">
        <f aca="false">IF(B220="","","Q-"&amp;TEXT(ROW()-4,"000"))</f>
        <v/>
      </c>
      <c r="B220" s="53"/>
      <c r="C220" s="52"/>
      <c r="D220" s="52"/>
      <c r="E220" s="52"/>
      <c r="F220" s="52"/>
      <c r="G220" s="53"/>
      <c r="H220" s="52"/>
      <c r="I220" s="55"/>
      <c r="J220" s="55"/>
      <c r="K220" s="56" t="str">
        <f aca="false">IF(OR(F220="",I220=""),"",F220*I220+N(J220))</f>
        <v/>
      </c>
      <c r="L220" s="61" t="str">
        <f aca="false">IF(K220="","",INDEX(Settings!$B$14:$B$18,MATCH(K220,Settings!$A$14:$A$18,1)))</f>
        <v/>
      </c>
      <c r="M220" s="56" t="str">
        <f aca="false">IF(K220="","",CEILING(MAX(K220*(1+L220),K220+Settings!$B$5)/(1-Settings!$B$4),Settings!$B$6))</f>
        <v/>
      </c>
      <c r="N220" s="55"/>
      <c r="O220" s="56" t="str">
        <f aca="false">IF(K220="","",IF(N220="",M220,N220))</f>
        <v/>
      </c>
      <c r="P220" s="56" t="str">
        <f aca="false">IF(O220="","",O220*(1-Settings!$B$4)-K220)</f>
        <v/>
      </c>
      <c r="Q220" s="61" t="str">
        <f aca="false">IF(OR(O220="",O220=0),"",P220/O220)</f>
        <v/>
      </c>
      <c r="R220" s="52"/>
      <c r="S220" s="65" t="str">
        <f aca="false">IF(OR(B220="",R220="Paid",R220="Lost",R220="Shipped"),"",B220+Settings!$B$8)</f>
        <v/>
      </c>
      <c r="T220" s="10" t="str">
        <f aca="true">IF(OR(B220="",R220="Paid",R220="Lost"),"",TODAY()-B220)</f>
        <v/>
      </c>
      <c r="U220" s="53"/>
      <c r="V220" s="66"/>
    </row>
    <row r="221" customFormat="false" ht="15" hidden="false" customHeight="false" outlineLevel="0" collapsed="false">
      <c r="A221" s="10" t="str">
        <f aca="false">IF(B221="","","Q-"&amp;TEXT(ROW()-4,"000"))</f>
        <v/>
      </c>
      <c r="B221" s="53"/>
      <c r="C221" s="52"/>
      <c r="D221" s="52"/>
      <c r="E221" s="52"/>
      <c r="F221" s="52"/>
      <c r="G221" s="53"/>
      <c r="H221" s="52"/>
      <c r="I221" s="55"/>
      <c r="J221" s="55"/>
      <c r="K221" s="56" t="str">
        <f aca="false">IF(OR(F221="",I221=""),"",F221*I221+N(J221))</f>
        <v/>
      </c>
      <c r="L221" s="61" t="str">
        <f aca="false">IF(K221="","",INDEX(Settings!$B$14:$B$18,MATCH(K221,Settings!$A$14:$A$18,1)))</f>
        <v/>
      </c>
      <c r="M221" s="56" t="str">
        <f aca="false">IF(K221="","",CEILING(MAX(K221*(1+L221),K221+Settings!$B$5)/(1-Settings!$B$4),Settings!$B$6))</f>
        <v/>
      </c>
      <c r="N221" s="55"/>
      <c r="O221" s="56" t="str">
        <f aca="false">IF(K221="","",IF(N221="",M221,N221))</f>
        <v/>
      </c>
      <c r="P221" s="56" t="str">
        <f aca="false">IF(O221="","",O221*(1-Settings!$B$4)-K221)</f>
        <v/>
      </c>
      <c r="Q221" s="61" t="str">
        <f aca="false">IF(OR(O221="",O221=0),"",P221/O221)</f>
        <v/>
      </c>
      <c r="R221" s="52"/>
      <c r="S221" s="65" t="str">
        <f aca="false">IF(OR(B221="",R221="Paid",R221="Lost",R221="Shipped"),"",B221+Settings!$B$8)</f>
        <v/>
      </c>
      <c r="T221" s="10" t="str">
        <f aca="true">IF(OR(B221="",R221="Paid",R221="Lost"),"",TODAY()-B221)</f>
        <v/>
      </c>
      <c r="U221" s="53"/>
      <c r="V221" s="66"/>
    </row>
    <row r="222" customFormat="false" ht="15" hidden="false" customHeight="false" outlineLevel="0" collapsed="false">
      <c r="A222" s="10" t="str">
        <f aca="false">IF(B222="","","Q-"&amp;TEXT(ROW()-4,"000"))</f>
        <v/>
      </c>
      <c r="B222" s="53"/>
      <c r="C222" s="52"/>
      <c r="D222" s="52"/>
      <c r="E222" s="52"/>
      <c r="F222" s="52"/>
      <c r="G222" s="53"/>
      <c r="H222" s="52"/>
      <c r="I222" s="55"/>
      <c r="J222" s="55"/>
      <c r="K222" s="56" t="str">
        <f aca="false">IF(OR(F222="",I222=""),"",F222*I222+N(J222))</f>
        <v/>
      </c>
      <c r="L222" s="61" t="str">
        <f aca="false">IF(K222="","",INDEX(Settings!$B$14:$B$18,MATCH(K222,Settings!$A$14:$A$18,1)))</f>
        <v/>
      </c>
      <c r="M222" s="56" t="str">
        <f aca="false">IF(K222="","",CEILING(MAX(K222*(1+L222),K222+Settings!$B$5)/(1-Settings!$B$4),Settings!$B$6))</f>
        <v/>
      </c>
      <c r="N222" s="55"/>
      <c r="O222" s="56" t="str">
        <f aca="false">IF(K222="","",IF(N222="",M222,N222))</f>
        <v/>
      </c>
      <c r="P222" s="56" t="str">
        <f aca="false">IF(O222="","",O222*(1-Settings!$B$4)-K222)</f>
        <v/>
      </c>
      <c r="Q222" s="61" t="str">
        <f aca="false">IF(OR(O222="",O222=0),"",P222/O222)</f>
        <v/>
      </c>
      <c r="R222" s="52"/>
      <c r="S222" s="65" t="str">
        <f aca="false">IF(OR(B222="",R222="Paid",R222="Lost",R222="Shipped"),"",B222+Settings!$B$8)</f>
        <v/>
      </c>
      <c r="T222" s="10" t="str">
        <f aca="true">IF(OR(B222="",R222="Paid",R222="Lost"),"",TODAY()-B222)</f>
        <v/>
      </c>
      <c r="U222" s="53"/>
      <c r="V222" s="66"/>
    </row>
    <row r="223" customFormat="false" ht="15" hidden="false" customHeight="false" outlineLevel="0" collapsed="false">
      <c r="A223" s="10" t="str">
        <f aca="false">IF(B223="","","Q-"&amp;TEXT(ROW()-4,"000"))</f>
        <v/>
      </c>
      <c r="B223" s="53"/>
      <c r="C223" s="52"/>
      <c r="D223" s="52"/>
      <c r="E223" s="52"/>
      <c r="F223" s="52"/>
      <c r="G223" s="53"/>
      <c r="H223" s="52"/>
      <c r="I223" s="55"/>
      <c r="J223" s="55"/>
      <c r="K223" s="56" t="str">
        <f aca="false">IF(OR(F223="",I223=""),"",F223*I223+N(J223))</f>
        <v/>
      </c>
      <c r="L223" s="61" t="str">
        <f aca="false">IF(K223="","",INDEX(Settings!$B$14:$B$18,MATCH(K223,Settings!$A$14:$A$18,1)))</f>
        <v/>
      </c>
      <c r="M223" s="56" t="str">
        <f aca="false">IF(K223="","",CEILING(MAX(K223*(1+L223),K223+Settings!$B$5)/(1-Settings!$B$4),Settings!$B$6))</f>
        <v/>
      </c>
      <c r="N223" s="55"/>
      <c r="O223" s="56" t="str">
        <f aca="false">IF(K223="","",IF(N223="",M223,N223))</f>
        <v/>
      </c>
      <c r="P223" s="56" t="str">
        <f aca="false">IF(O223="","",O223*(1-Settings!$B$4)-K223)</f>
        <v/>
      </c>
      <c r="Q223" s="61" t="str">
        <f aca="false">IF(OR(O223="",O223=0),"",P223/O223)</f>
        <v/>
      </c>
      <c r="R223" s="52"/>
      <c r="S223" s="65" t="str">
        <f aca="false">IF(OR(B223="",R223="Paid",R223="Lost",R223="Shipped"),"",B223+Settings!$B$8)</f>
        <v/>
      </c>
      <c r="T223" s="10" t="str">
        <f aca="true">IF(OR(B223="",R223="Paid",R223="Lost"),"",TODAY()-B223)</f>
        <v/>
      </c>
      <c r="U223" s="53"/>
      <c r="V223" s="66"/>
    </row>
    <row r="224" customFormat="false" ht="15" hidden="false" customHeight="false" outlineLevel="0" collapsed="false">
      <c r="A224" s="10" t="str">
        <f aca="false">IF(B224="","","Q-"&amp;TEXT(ROW()-4,"000"))</f>
        <v/>
      </c>
      <c r="B224" s="53"/>
      <c r="C224" s="52"/>
      <c r="D224" s="52"/>
      <c r="E224" s="52"/>
      <c r="F224" s="52"/>
      <c r="G224" s="53"/>
      <c r="H224" s="52"/>
      <c r="I224" s="55"/>
      <c r="J224" s="55"/>
      <c r="K224" s="56" t="str">
        <f aca="false">IF(OR(F224="",I224=""),"",F224*I224+N(J224))</f>
        <v/>
      </c>
      <c r="L224" s="61" t="str">
        <f aca="false">IF(K224="","",INDEX(Settings!$B$14:$B$18,MATCH(K224,Settings!$A$14:$A$18,1)))</f>
        <v/>
      </c>
      <c r="M224" s="56" t="str">
        <f aca="false">IF(K224="","",CEILING(MAX(K224*(1+L224),K224+Settings!$B$5)/(1-Settings!$B$4),Settings!$B$6))</f>
        <v/>
      </c>
      <c r="N224" s="55"/>
      <c r="O224" s="56" t="str">
        <f aca="false">IF(K224="","",IF(N224="",M224,N224))</f>
        <v/>
      </c>
      <c r="P224" s="56" t="str">
        <f aca="false">IF(O224="","",O224*(1-Settings!$B$4)-K224)</f>
        <v/>
      </c>
      <c r="Q224" s="61" t="str">
        <f aca="false">IF(OR(O224="",O224=0),"",P224/O224)</f>
        <v/>
      </c>
      <c r="R224" s="52"/>
      <c r="S224" s="65" t="str">
        <f aca="false">IF(OR(B224="",R224="Paid",R224="Lost",R224="Shipped"),"",B224+Settings!$B$8)</f>
        <v/>
      </c>
      <c r="T224" s="10" t="str">
        <f aca="true">IF(OR(B224="",R224="Paid",R224="Lost"),"",TODAY()-B224)</f>
        <v/>
      </c>
      <c r="U224" s="53"/>
      <c r="V224" s="66"/>
    </row>
    <row r="225" customFormat="false" ht="15" hidden="false" customHeight="false" outlineLevel="0" collapsed="false">
      <c r="A225" s="10" t="str">
        <f aca="false">IF(B225="","","Q-"&amp;TEXT(ROW()-4,"000"))</f>
        <v/>
      </c>
      <c r="B225" s="53"/>
      <c r="C225" s="52"/>
      <c r="D225" s="52"/>
      <c r="E225" s="52"/>
      <c r="F225" s="52"/>
      <c r="G225" s="53"/>
      <c r="H225" s="52"/>
      <c r="I225" s="55"/>
      <c r="J225" s="55"/>
      <c r="K225" s="56" t="str">
        <f aca="false">IF(OR(F225="",I225=""),"",F225*I225+N(J225))</f>
        <v/>
      </c>
      <c r="L225" s="61" t="str">
        <f aca="false">IF(K225="","",INDEX(Settings!$B$14:$B$18,MATCH(K225,Settings!$A$14:$A$18,1)))</f>
        <v/>
      </c>
      <c r="M225" s="56" t="str">
        <f aca="false">IF(K225="","",CEILING(MAX(K225*(1+L225),K225+Settings!$B$5)/(1-Settings!$B$4),Settings!$B$6))</f>
        <v/>
      </c>
      <c r="N225" s="55"/>
      <c r="O225" s="56" t="str">
        <f aca="false">IF(K225="","",IF(N225="",M225,N225))</f>
        <v/>
      </c>
      <c r="P225" s="56" t="str">
        <f aca="false">IF(O225="","",O225*(1-Settings!$B$4)-K225)</f>
        <v/>
      </c>
      <c r="Q225" s="61" t="str">
        <f aca="false">IF(OR(O225="",O225=0),"",P225/O225)</f>
        <v/>
      </c>
      <c r="R225" s="52"/>
      <c r="S225" s="65" t="str">
        <f aca="false">IF(OR(B225="",R225="Paid",R225="Lost",R225="Shipped"),"",B225+Settings!$B$8)</f>
        <v/>
      </c>
      <c r="T225" s="10" t="str">
        <f aca="true">IF(OR(B225="",R225="Paid",R225="Lost"),"",TODAY()-B225)</f>
        <v/>
      </c>
      <c r="U225" s="53"/>
      <c r="V225" s="66"/>
    </row>
    <row r="226" customFormat="false" ht="15" hidden="false" customHeight="false" outlineLevel="0" collapsed="false">
      <c r="A226" s="10" t="str">
        <f aca="false">IF(B226="","","Q-"&amp;TEXT(ROW()-4,"000"))</f>
        <v/>
      </c>
      <c r="B226" s="53"/>
      <c r="C226" s="52"/>
      <c r="D226" s="52"/>
      <c r="E226" s="52"/>
      <c r="F226" s="52"/>
      <c r="G226" s="53"/>
      <c r="H226" s="52"/>
      <c r="I226" s="55"/>
      <c r="J226" s="55"/>
      <c r="K226" s="56" t="str">
        <f aca="false">IF(OR(F226="",I226=""),"",F226*I226+N(J226))</f>
        <v/>
      </c>
      <c r="L226" s="61" t="str">
        <f aca="false">IF(K226="","",INDEX(Settings!$B$14:$B$18,MATCH(K226,Settings!$A$14:$A$18,1)))</f>
        <v/>
      </c>
      <c r="M226" s="56" t="str">
        <f aca="false">IF(K226="","",CEILING(MAX(K226*(1+L226),K226+Settings!$B$5)/(1-Settings!$B$4),Settings!$B$6))</f>
        <v/>
      </c>
      <c r="N226" s="55"/>
      <c r="O226" s="56" t="str">
        <f aca="false">IF(K226="","",IF(N226="",M226,N226))</f>
        <v/>
      </c>
      <c r="P226" s="56" t="str">
        <f aca="false">IF(O226="","",O226*(1-Settings!$B$4)-K226)</f>
        <v/>
      </c>
      <c r="Q226" s="61" t="str">
        <f aca="false">IF(OR(O226="",O226=0),"",P226/O226)</f>
        <v/>
      </c>
      <c r="R226" s="52"/>
      <c r="S226" s="65" t="str">
        <f aca="false">IF(OR(B226="",R226="Paid",R226="Lost",R226="Shipped"),"",B226+Settings!$B$8)</f>
        <v/>
      </c>
      <c r="T226" s="10" t="str">
        <f aca="true">IF(OR(B226="",R226="Paid",R226="Lost"),"",TODAY()-B226)</f>
        <v/>
      </c>
      <c r="U226" s="53"/>
      <c r="V226" s="66"/>
    </row>
    <row r="227" customFormat="false" ht="15" hidden="false" customHeight="false" outlineLevel="0" collapsed="false">
      <c r="A227" s="10" t="str">
        <f aca="false">IF(B227="","","Q-"&amp;TEXT(ROW()-4,"000"))</f>
        <v/>
      </c>
      <c r="B227" s="53"/>
      <c r="C227" s="52"/>
      <c r="D227" s="52"/>
      <c r="E227" s="52"/>
      <c r="F227" s="52"/>
      <c r="G227" s="53"/>
      <c r="H227" s="52"/>
      <c r="I227" s="55"/>
      <c r="J227" s="55"/>
      <c r="K227" s="56" t="str">
        <f aca="false">IF(OR(F227="",I227=""),"",F227*I227+N(J227))</f>
        <v/>
      </c>
      <c r="L227" s="61" t="str">
        <f aca="false">IF(K227="","",INDEX(Settings!$B$14:$B$18,MATCH(K227,Settings!$A$14:$A$18,1)))</f>
        <v/>
      </c>
      <c r="M227" s="56" t="str">
        <f aca="false">IF(K227="","",CEILING(MAX(K227*(1+L227),K227+Settings!$B$5)/(1-Settings!$B$4),Settings!$B$6))</f>
        <v/>
      </c>
      <c r="N227" s="55"/>
      <c r="O227" s="56" t="str">
        <f aca="false">IF(K227="","",IF(N227="",M227,N227))</f>
        <v/>
      </c>
      <c r="P227" s="56" t="str">
        <f aca="false">IF(O227="","",O227*(1-Settings!$B$4)-K227)</f>
        <v/>
      </c>
      <c r="Q227" s="61" t="str">
        <f aca="false">IF(OR(O227="",O227=0),"",P227/O227)</f>
        <v/>
      </c>
      <c r="R227" s="52"/>
      <c r="S227" s="65" t="str">
        <f aca="false">IF(OR(B227="",R227="Paid",R227="Lost",R227="Shipped"),"",B227+Settings!$B$8)</f>
        <v/>
      </c>
      <c r="T227" s="10" t="str">
        <f aca="true">IF(OR(B227="",R227="Paid",R227="Lost"),"",TODAY()-B227)</f>
        <v/>
      </c>
      <c r="U227" s="53"/>
      <c r="V227" s="66"/>
    </row>
    <row r="228" customFormat="false" ht="15" hidden="false" customHeight="false" outlineLevel="0" collapsed="false">
      <c r="A228" s="10" t="str">
        <f aca="false">IF(B228="","","Q-"&amp;TEXT(ROW()-4,"000"))</f>
        <v/>
      </c>
      <c r="B228" s="53"/>
      <c r="C228" s="52"/>
      <c r="D228" s="52"/>
      <c r="E228" s="52"/>
      <c r="F228" s="52"/>
      <c r="G228" s="53"/>
      <c r="H228" s="52"/>
      <c r="I228" s="55"/>
      <c r="J228" s="55"/>
      <c r="K228" s="56" t="str">
        <f aca="false">IF(OR(F228="",I228=""),"",F228*I228+N(J228))</f>
        <v/>
      </c>
      <c r="L228" s="61" t="str">
        <f aca="false">IF(K228="","",INDEX(Settings!$B$14:$B$18,MATCH(K228,Settings!$A$14:$A$18,1)))</f>
        <v/>
      </c>
      <c r="M228" s="56" t="str">
        <f aca="false">IF(K228="","",CEILING(MAX(K228*(1+L228),K228+Settings!$B$5)/(1-Settings!$B$4),Settings!$B$6))</f>
        <v/>
      </c>
      <c r="N228" s="55"/>
      <c r="O228" s="56" t="str">
        <f aca="false">IF(K228="","",IF(N228="",M228,N228))</f>
        <v/>
      </c>
      <c r="P228" s="56" t="str">
        <f aca="false">IF(O228="","",O228*(1-Settings!$B$4)-K228)</f>
        <v/>
      </c>
      <c r="Q228" s="61" t="str">
        <f aca="false">IF(OR(O228="",O228=0),"",P228/O228)</f>
        <v/>
      </c>
      <c r="R228" s="52"/>
      <c r="S228" s="65" t="str">
        <f aca="false">IF(OR(B228="",R228="Paid",R228="Lost",R228="Shipped"),"",B228+Settings!$B$8)</f>
        <v/>
      </c>
      <c r="T228" s="10" t="str">
        <f aca="true">IF(OR(B228="",R228="Paid",R228="Lost"),"",TODAY()-B228)</f>
        <v/>
      </c>
      <c r="U228" s="53"/>
      <c r="V228" s="66"/>
    </row>
    <row r="229" customFormat="false" ht="15" hidden="false" customHeight="false" outlineLevel="0" collapsed="false">
      <c r="A229" s="10" t="str">
        <f aca="false">IF(B229="","","Q-"&amp;TEXT(ROW()-4,"000"))</f>
        <v/>
      </c>
      <c r="B229" s="53"/>
      <c r="C229" s="52"/>
      <c r="D229" s="52"/>
      <c r="E229" s="52"/>
      <c r="F229" s="52"/>
      <c r="G229" s="53"/>
      <c r="H229" s="52"/>
      <c r="I229" s="55"/>
      <c r="J229" s="55"/>
      <c r="K229" s="56" t="str">
        <f aca="false">IF(OR(F229="",I229=""),"",F229*I229+N(J229))</f>
        <v/>
      </c>
      <c r="L229" s="61" t="str">
        <f aca="false">IF(K229="","",INDEX(Settings!$B$14:$B$18,MATCH(K229,Settings!$A$14:$A$18,1)))</f>
        <v/>
      </c>
      <c r="M229" s="56" t="str">
        <f aca="false">IF(K229="","",CEILING(MAX(K229*(1+L229),K229+Settings!$B$5)/(1-Settings!$B$4),Settings!$B$6))</f>
        <v/>
      </c>
      <c r="N229" s="55"/>
      <c r="O229" s="56" t="str">
        <f aca="false">IF(K229="","",IF(N229="",M229,N229))</f>
        <v/>
      </c>
      <c r="P229" s="56" t="str">
        <f aca="false">IF(O229="","",O229*(1-Settings!$B$4)-K229)</f>
        <v/>
      </c>
      <c r="Q229" s="61" t="str">
        <f aca="false">IF(OR(O229="",O229=0),"",P229/O229)</f>
        <v/>
      </c>
      <c r="R229" s="52"/>
      <c r="S229" s="65" t="str">
        <f aca="false">IF(OR(B229="",R229="Paid",R229="Lost",R229="Shipped"),"",B229+Settings!$B$8)</f>
        <v/>
      </c>
      <c r="T229" s="10" t="str">
        <f aca="true">IF(OR(B229="",R229="Paid",R229="Lost"),"",TODAY()-B229)</f>
        <v/>
      </c>
      <c r="U229" s="53"/>
      <c r="V229" s="66"/>
    </row>
    <row r="230" customFormat="false" ht="15" hidden="false" customHeight="false" outlineLevel="0" collapsed="false">
      <c r="A230" s="10" t="str">
        <f aca="false">IF(B230="","","Q-"&amp;TEXT(ROW()-4,"000"))</f>
        <v/>
      </c>
      <c r="B230" s="53"/>
      <c r="C230" s="52"/>
      <c r="D230" s="52"/>
      <c r="E230" s="52"/>
      <c r="F230" s="52"/>
      <c r="G230" s="53"/>
      <c r="H230" s="52"/>
      <c r="I230" s="55"/>
      <c r="J230" s="55"/>
      <c r="K230" s="56" t="str">
        <f aca="false">IF(OR(F230="",I230=""),"",F230*I230+N(J230))</f>
        <v/>
      </c>
      <c r="L230" s="61" t="str">
        <f aca="false">IF(K230="","",INDEX(Settings!$B$14:$B$18,MATCH(K230,Settings!$A$14:$A$18,1)))</f>
        <v/>
      </c>
      <c r="M230" s="56" t="str">
        <f aca="false">IF(K230="","",CEILING(MAX(K230*(1+L230),K230+Settings!$B$5)/(1-Settings!$B$4),Settings!$B$6))</f>
        <v/>
      </c>
      <c r="N230" s="55"/>
      <c r="O230" s="56" t="str">
        <f aca="false">IF(K230="","",IF(N230="",M230,N230))</f>
        <v/>
      </c>
      <c r="P230" s="56" t="str">
        <f aca="false">IF(O230="","",O230*(1-Settings!$B$4)-K230)</f>
        <v/>
      </c>
      <c r="Q230" s="61" t="str">
        <f aca="false">IF(OR(O230="",O230=0),"",P230/O230)</f>
        <v/>
      </c>
      <c r="R230" s="52"/>
      <c r="S230" s="65" t="str">
        <f aca="false">IF(OR(B230="",R230="Paid",R230="Lost",R230="Shipped"),"",B230+Settings!$B$8)</f>
        <v/>
      </c>
      <c r="T230" s="10" t="str">
        <f aca="true">IF(OR(B230="",R230="Paid",R230="Lost"),"",TODAY()-B230)</f>
        <v/>
      </c>
      <c r="U230" s="53"/>
      <c r="V230" s="66"/>
    </row>
    <row r="231" customFormat="false" ht="15" hidden="false" customHeight="false" outlineLevel="0" collapsed="false">
      <c r="A231" s="10" t="str">
        <f aca="false">IF(B231="","","Q-"&amp;TEXT(ROW()-4,"000"))</f>
        <v/>
      </c>
      <c r="B231" s="53"/>
      <c r="C231" s="52"/>
      <c r="D231" s="52"/>
      <c r="E231" s="52"/>
      <c r="F231" s="52"/>
      <c r="G231" s="53"/>
      <c r="H231" s="52"/>
      <c r="I231" s="55"/>
      <c r="J231" s="55"/>
      <c r="K231" s="56" t="str">
        <f aca="false">IF(OR(F231="",I231=""),"",F231*I231+N(J231))</f>
        <v/>
      </c>
      <c r="L231" s="61" t="str">
        <f aca="false">IF(K231="","",INDEX(Settings!$B$14:$B$18,MATCH(K231,Settings!$A$14:$A$18,1)))</f>
        <v/>
      </c>
      <c r="M231" s="56" t="str">
        <f aca="false">IF(K231="","",CEILING(MAX(K231*(1+L231),K231+Settings!$B$5)/(1-Settings!$B$4),Settings!$B$6))</f>
        <v/>
      </c>
      <c r="N231" s="55"/>
      <c r="O231" s="56" t="str">
        <f aca="false">IF(K231="","",IF(N231="",M231,N231))</f>
        <v/>
      </c>
      <c r="P231" s="56" t="str">
        <f aca="false">IF(O231="","",O231*(1-Settings!$B$4)-K231)</f>
        <v/>
      </c>
      <c r="Q231" s="61" t="str">
        <f aca="false">IF(OR(O231="",O231=0),"",P231/O231)</f>
        <v/>
      </c>
      <c r="R231" s="52"/>
      <c r="S231" s="65" t="str">
        <f aca="false">IF(OR(B231="",R231="Paid",R231="Lost",R231="Shipped"),"",B231+Settings!$B$8)</f>
        <v/>
      </c>
      <c r="T231" s="10" t="str">
        <f aca="true">IF(OR(B231="",R231="Paid",R231="Lost"),"",TODAY()-B231)</f>
        <v/>
      </c>
      <c r="U231" s="53"/>
      <c r="V231" s="66"/>
    </row>
    <row r="232" customFormat="false" ht="15" hidden="false" customHeight="false" outlineLevel="0" collapsed="false">
      <c r="A232" s="10" t="str">
        <f aca="false">IF(B232="","","Q-"&amp;TEXT(ROW()-4,"000"))</f>
        <v/>
      </c>
      <c r="B232" s="53"/>
      <c r="C232" s="52"/>
      <c r="D232" s="52"/>
      <c r="E232" s="52"/>
      <c r="F232" s="52"/>
      <c r="G232" s="53"/>
      <c r="H232" s="52"/>
      <c r="I232" s="55"/>
      <c r="J232" s="55"/>
      <c r="K232" s="56" t="str">
        <f aca="false">IF(OR(F232="",I232=""),"",F232*I232+N(J232))</f>
        <v/>
      </c>
      <c r="L232" s="61" t="str">
        <f aca="false">IF(K232="","",INDEX(Settings!$B$14:$B$18,MATCH(K232,Settings!$A$14:$A$18,1)))</f>
        <v/>
      </c>
      <c r="M232" s="56" t="str">
        <f aca="false">IF(K232="","",CEILING(MAX(K232*(1+L232),K232+Settings!$B$5)/(1-Settings!$B$4),Settings!$B$6))</f>
        <v/>
      </c>
      <c r="N232" s="55"/>
      <c r="O232" s="56" t="str">
        <f aca="false">IF(K232="","",IF(N232="",M232,N232))</f>
        <v/>
      </c>
      <c r="P232" s="56" t="str">
        <f aca="false">IF(O232="","",O232*(1-Settings!$B$4)-K232)</f>
        <v/>
      </c>
      <c r="Q232" s="61" t="str">
        <f aca="false">IF(OR(O232="",O232=0),"",P232/O232)</f>
        <v/>
      </c>
      <c r="R232" s="52"/>
      <c r="S232" s="65" t="str">
        <f aca="false">IF(OR(B232="",R232="Paid",R232="Lost",R232="Shipped"),"",B232+Settings!$B$8)</f>
        <v/>
      </c>
      <c r="T232" s="10" t="str">
        <f aca="true">IF(OR(B232="",R232="Paid",R232="Lost"),"",TODAY()-B232)</f>
        <v/>
      </c>
      <c r="U232" s="53"/>
      <c r="V232" s="66"/>
    </row>
    <row r="233" customFormat="false" ht="15" hidden="false" customHeight="false" outlineLevel="0" collapsed="false">
      <c r="A233" s="10" t="str">
        <f aca="false">IF(B233="","","Q-"&amp;TEXT(ROW()-4,"000"))</f>
        <v/>
      </c>
      <c r="B233" s="53"/>
      <c r="C233" s="52"/>
      <c r="D233" s="52"/>
      <c r="E233" s="52"/>
      <c r="F233" s="52"/>
      <c r="G233" s="53"/>
      <c r="H233" s="52"/>
      <c r="I233" s="55"/>
      <c r="J233" s="55"/>
      <c r="K233" s="56" t="str">
        <f aca="false">IF(OR(F233="",I233=""),"",F233*I233+N(J233))</f>
        <v/>
      </c>
      <c r="L233" s="61" t="str">
        <f aca="false">IF(K233="","",INDEX(Settings!$B$14:$B$18,MATCH(K233,Settings!$A$14:$A$18,1)))</f>
        <v/>
      </c>
      <c r="M233" s="56" t="str">
        <f aca="false">IF(K233="","",CEILING(MAX(K233*(1+L233),K233+Settings!$B$5)/(1-Settings!$B$4),Settings!$B$6))</f>
        <v/>
      </c>
      <c r="N233" s="55"/>
      <c r="O233" s="56" t="str">
        <f aca="false">IF(K233="","",IF(N233="",M233,N233))</f>
        <v/>
      </c>
      <c r="P233" s="56" t="str">
        <f aca="false">IF(O233="","",O233*(1-Settings!$B$4)-K233)</f>
        <v/>
      </c>
      <c r="Q233" s="61" t="str">
        <f aca="false">IF(OR(O233="",O233=0),"",P233/O233)</f>
        <v/>
      </c>
      <c r="R233" s="52"/>
      <c r="S233" s="65" t="str">
        <f aca="false">IF(OR(B233="",R233="Paid",R233="Lost",R233="Shipped"),"",B233+Settings!$B$8)</f>
        <v/>
      </c>
      <c r="T233" s="10" t="str">
        <f aca="true">IF(OR(B233="",R233="Paid",R233="Lost"),"",TODAY()-B233)</f>
        <v/>
      </c>
      <c r="U233" s="53"/>
      <c r="V233" s="66"/>
    </row>
    <row r="234" customFormat="false" ht="15" hidden="false" customHeight="false" outlineLevel="0" collapsed="false">
      <c r="A234" s="10" t="str">
        <f aca="false">IF(B234="","","Q-"&amp;TEXT(ROW()-4,"000"))</f>
        <v/>
      </c>
      <c r="B234" s="53"/>
      <c r="C234" s="52"/>
      <c r="D234" s="52"/>
      <c r="E234" s="52"/>
      <c r="F234" s="52"/>
      <c r="G234" s="53"/>
      <c r="H234" s="52"/>
      <c r="I234" s="55"/>
      <c r="J234" s="55"/>
      <c r="K234" s="56" t="str">
        <f aca="false">IF(OR(F234="",I234=""),"",F234*I234+N(J234))</f>
        <v/>
      </c>
      <c r="L234" s="61" t="str">
        <f aca="false">IF(K234="","",INDEX(Settings!$B$14:$B$18,MATCH(K234,Settings!$A$14:$A$18,1)))</f>
        <v/>
      </c>
      <c r="M234" s="56" t="str">
        <f aca="false">IF(K234="","",CEILING(MAX(K234*(1+L234),K234+Settings!$B$5)/(1-Settings!$B$4),Settings!$B$6))</f>
        <v/>
      </c>
      <c r="N234" s="55"/>
      <c r="O234" s="56" t="str">
        <f aca="false">IF(K234="","",IF(N234="",M234,N234))</f>
        <v/>
      </c>
      <c r="P234" s="56" t="str">
        <f aca="false">IF(O234="","",O234*(1-Settings!$B$4)-K234)</f>
        <v/>
      </c>
      <c r="Q234" s="61" t="str">
        <f aca="false">IF(OR(O234="",O234=0),"",P234/O234)</f>
        <v/>
      </c>
      <c r="R234" s="52"/>
      <c r="S234" s="65" t="str">
        <f aca="false">IF(OR(B234="",R234="Paid",R234="Lost",R234="Shipped"),"",B234+Settings!$B$8)</f>
        <v/>
      </c>
      <c r="T234" s="10" t="str">
        <f aca="true">IF(OR(B234="",R234="Paid",R234="Lost"),"",TODAY()-B234)</f>
        <v/>
      </c>
      <c r="U234" s="53"/>
      <c r="V234" s="66"/>
    </row>
    <row r="235" customFormat="false" ht="15" hidden="false" customHeight="false" outlineLevel="0" collapsed="false">
      <c r="A235" s="10" t="str">
        <f aca="false">IF(B235="","","Q-"&amp;TEXT(ROW()-4,"000"))</f>
        <v/>
      </c>
      <c r="B235" s="53"/>
      <c r="C235" s="52"/>
      <c r="D235" s="52"/>
      <c r="E235" s="52"/>
      <c r="F235" s="52"/>
      <c r="G235" s="53"/>
      <c r="H235" s="52"/>
      <c r="I235" s="55"/>
      <c r="J235" s="55"/>
      <c r="K235" s="56" t="str">
        <f aca="false">IF(OR(F235="",I235=""),"",F235*I235+N(J235))</f>
        <v/>
      </c>
      <c r="L235" s="61" t="str">
        <f aca="false">IF(K235="","",INDEX(Settings!$B$14:$B$18,MATCH(K235,Settings!$A$14:$A$18,1)))</f>
        <v/>
      </c>
      <c r="M235" s="56" t="str">
        <f aca="false">IF(K235="","",CEILING(MAX(K235*(1+L235),K235+Settings!$B$5)/(1-Settings!$B$4),Settings!$B$6))</f>
        <v/>
      </c>
      <c r="N235" s="55"/>
      <c r="O235" s="56" t="str">
        <f aca="false">IF(K235="","",IF(N235="",M235,N235))</f>
        <v/>
      </c>
      <c r="P235" s="56" t="str">
        <f aca="false">IF(O235="","",O235*(1-Settings!$B$4)-K235)</f>
        <v/>
      </c>
      <c r="Q235" s="61" t="str">
        <f aca="false">IF(OR(O235="",O235=0),"",P235/O235)</f>
        <v/>
      </c>
      <c r="R235" s="52"/>
      <c r="S235" s="65" t="str">
        <f aca="false">IF(OR(B235="",R235="Paid",R235="Lost",R235="Shipped"),"",B235+Settings!$B$8)</f>
        <v/>
      </c>
      <c r="T235" s="10" t="str">
        <f aca="true">IF(OR(B235="",R235="Paid",R235="Lost"),"",TODAY()-B235)</f>
        <v/>
      </c>
      <c r="U235" s="53"/>
      <c r="V235" s="66"/>
    </row>
    <row r="236" customFormat="false" ht="15" hidden="false" customHeight="false" outlineLevel="0" collapsed="false">
      <c r="A236" s="10" t="str">
        <f aca="false">IF(B236="","","Q-"&amp;TEXT(ROW()-4,"000"))</f>
        <v/>
      </c>
      <c r="B236" s="53"/>
      <c r="C236" s="52"/>
      <c r="D236" s="52"/>
      <c r="E236" s="52"/>
      <c r="F236" s="52"/>
      <c r="G236" s="53"/>
      <c r="H236" s="52"/>
      <c r="I236" s="55"/>
      <c r="J236" s="55"/>
      <c r="K236" s="56" t="str">
        <f aca="false">IF(OR(F236="",I236=""),"",F236*I236+N(J236))</f>
        <v/>
      </c>
      <c r="L236" s="61" t="str">
        <f aca="false">IF(K236="","",INDEX(Settings!$B$14:$B$18,MATCH(K236,Settings!$A$14:$A$18,1)))</f>
        <v/>
      </c>
      <c r="M236" s="56" t="str">
        <f aca="false">IF(K236="","",CEILING(MAX(K236*(1+L236),K236+Settings!$B$5)/(1-Settings!$B$4),Settings!$B$6))</f>
        <v/>
      </c>
      <c r="N236" s="55"/>
      <c r="O236" s="56" t="str">
        <f aca="false">IF(K236="","",IF(N236="",M236,N236))</f>
        <v/>
      </c>
      <c r="P236" s="56" t="str">
        <f aca="false">IF(O236="","",O236*(1-Settings!$B$4)-K236)</f>
        <v/>
      </c>
      <c r="Q236" s="61" t="str">
        <f aca="false">IF(OR(O236="",O236=0),"",P236/O236)</f>
        <v/>
      </c>
      <c r="R236" s="52"/>
      <c r="S236" s="65" t="str">
        <f aca="false">IF(OR(B236="",R236="Paid",R236="Lost",R236="Shipped"),"",B236+Settings!$B$8)</f>
        <v/>
      </c>
      <c r="T236" s="10" t="str">
        <f aca="true">IF(OR(B236="",R236="Paid",R236="Lost"),"",TODAY()-B236)</f>
        <v/>
      </c>
      <c r="U236" s="53"/>
      <c r="V236" s="66"/>
    </row>
    <row r="237" customFormat="false" ht="15" hidden="false" customHeight="false" outlineLevel="0" collapsed="false">
      <c r="A237" s="10" t="str">
        <f aca="false">IF(B237="","","Q-"&amp;TEXT(ROW()-4,"000"))</f>
        <v/>
      </c>
      <c r="B237" s="53"/>
      <c r="C237" s="52"/>
      <c r="D237" s="52"/>
      <c r="E237" s="52"/>
      <c r="F237" s="52"/>
      <c r="G237" s="53"/>
      <c r="H237" s="52"/>
      <c r="I237" s="55"/>
      <c r="J237" s="55"/>
      <c r="K237" s="56" t="str">
        <f aca="false">IF(OR(F237="",I237=""),"",F237*I237+N(J237))</f>
        <v/>
      </c>
      <c r="L237" s="61" t="str">
        <f aca="false">IF(K237="","",INDEX(Settings!$B$14:$B$18,MATCH(K237,Settings!$A$14:$A$18,1)))</f>
        <v/>
      </c>
      <c r="M237" s="56" t="str">
        <f aca="false">IF(K237="","",CEILING(MAX(K237*(1+L237),K237+Settings!$B$5)/(1-Settings!$B$4),Settings!$B$6))</f>
        <v/>
      </c>
      <c r="N237" s="55"/>
      <c r="O237" s="56" t="str">
        <f aca="false">IF(K237="","",IF(N237="",M237,N237))</f>
        <v/>
      </c>
      <c r="P237" s="56" t="str">
        <f aca="false">IF(O237="","",O237*(1-Settings!$B$4)-K237)</f>
        <v/>
      </c>
      <c r="Q237" s="61" t="str">
        <f aca="false">IF(OR(O237="",O237=0),"",P237/O237)</f>
        <v/>
      </c>
      <c r="R237" s="52"/>
      <c r="S237" s="65" t="str">
        <f aca="false">IF(OR(B237="",R237="Paid",R237="Lost",R237="Shipped"),"",B237+Settings!$B$8)</f>
        <v/>
      </c>
      <c r="T237" s="10" t="str">
        <f aca="true">IF(OR(B237="",R237="Paid",R237="Lost"),"",TODAY()-B237)</f>
        <v/>
      </c>
      <c r="U237" s="53"/>
      <c r="V237" s="66"/>
    </row>
    <row r="238" customFormat="false" ht="15" hidden="false" customHeight="false" outlineLevel="0" collapsed="false">
      <c r="A238" s="10" t="str">
        <f aca="false">IF(B238="","","Q-"&amp;TEXT(ROW()-4,"000"))</f>
        <v/>
      </c>
      <c r="B238" s="53"/>
      <c r="C238" s="52"/>
      <c r="D238" s="52"/>
      <c r="E238" s="52"/>
      <c r="F238" s="52"/>
      <c r="G238" s="53"/>
      <c r="H238" s="52"/>
      <c r="I238" s="55"/>
      <c r="J238" s="55"/>
      <c r="K238" s="56" t="str">
        <f aca="false">IF(OR(F238="",I238=""),"",F238*I238+N(J238))</f>
        <v/>
      </c>
      <c r="L238" s="61" t="str">
        <f aca="false">IF(K238="","",INDEX(Settings!$B$14:$B$18,MATCH(K238,Settings!$A$14:$A$18,1)))</f>
        <v/>
      </c>
      <c r="M238" s="56" t="str">
        <f aca="false">IF(K238="","",CEILING(MAX(K238*(1+L238),K238+Settings!$B$5)/(1-Settings!$B$4),Settings!$B$6))</f>
        <v/>
      </c>
      <c r="N238" s="55"/>
      <c r="O238" s="56" t="str">
        <f aca="false">IF(K238="","",IF(N238="",M238,N238))</f>
        <v/>
      </c>
      <c r="P238" s="56" t="str">
        <f aca="false">IF(O238="","",O238*(1-Settings!$B$4)-K238)</f>
        <v/>
      </c>
      <c r="Q238" s="61" t="str">
        <f aca="false">IF(OR(O238="",O238=0),"",P238/O238)</f>
        <v/>
      </c>
      <c r="R238" s="52"/>
      <c r="S238" s="65" t="str">
        <f aca="false">IF(OR(B238="",R238="Paid",R238="Lost",R238="Shipped"),"",B238+Settings!$B$8)</f>
        <v/>
      </c>
      <c r="T238" s="10" t="str">
        <f aca="true">IF(OR(B238="",R238="Paid",R238="Lost"),"",TODAY()-B238)</f>
        <v/>
      </c>
      <c r="U238" s="53"/>
      <c r="V238" s="66"/>
    </row>
    <row r="239" customFormat="false" ht="15" hidden="false" customHeight="false" outlineLevel="0" collapsed="false">
      <c r="A239" s="10" t="str">
        <f aca="false">IF(B239="","","Q-"&amp;TEXT(ROW()-4,"000"))</f>
        <v/>
      </c>
      <c r="B239" s="53"/>
      <c r="C239" s="52"/>
      <c r="D239" s="52"/>
      <c r="E239" s="52"/>
      <c r="F239" s="52"/>
      <c r="G239" s="53"/>
      <c r="H239" s="52"/>
      <c r="I239" s="55"/>
      <c r="J239" s="55"/>
      <c r="K239" s="56" t="str">
        <f aca="false">IF(OR(F239="",I239=""),"",F239*I239+N(J239))</f>
        <v/>
      </c>
      <c r="L239" s="61" t="str">
        <f aca="false">IF(K239="","",INDEX(Settings!$B$14:$B$18,MATCH(K239,Settings!$A$14:$A$18,1)))</f>
        <v/>
      </c>
      <c r="M239" s="56" t="str">
        <f aca="false">IF(K239="","",CEILING(MAX(K239*(1+L239),K239+Settings!$B$5)/(1-Settings!$B$4),Settings!$B$6))</f>
        <v/>
      </c>
      <c r="N239" s="55"/>
      <c r="O239" s="56" t="str">
        <f aca="false">IF(K239="","",IF(N239="",M239,N239))</f>
        <v/>
      </c>
      <c r="P239" s="56" t="str">
        <f aca="false">IF(O239="","",O239*(1-Settings!$B$4)-K239)</f>
        <v/>
      </c>
      <c r="Q239" s="61" t="str">
        <f aca="false">IF(OR(O239="",O239=0),"",P239/O239)</f>
        <v/>
      </c>
      <c r="R239" s="52"/>
      <c r="S239" s="65" t="str">
        <f aca="false">IF(OR(B239="",R239="Paid",R239="Lost",R239="Shipped"),"",B239+Settings!$B$8)</f>
        <v/>
      </c>
      <c r="T239" s="10" t="str">
        <f aca="true">IF(OR(B239="",R239="Paid",R239="Lost"),"",TODAY()-B239)</f>
        <v/>
      </c>
      <c r="U239" s="53"/>
      <c r="V239" s="66"/>
    </row>
    <row r="240" customFormat="false" ht="15" hidden="false" customHeight="false" outlineLevel="0" collapsed="false">
      <c r="A240" s="10" t="str">
        <f aca="false">IF(B240="","","Q-"&amp;TEXT(ROW()-4,"000"))</f>
        <v/>
      </c>
      <c r="B240" s="53"/>
      <c r="C240" s="52"/>
      <c r="D240" s="52"/>
      <c r="E240" s="52"/>
      <c r="F240" s="52"/>
      <c r="G240" s="53"/>
      <c r="H240" s="52"/>
      <c r="I240" s="55"/>
      <c r="J240" s="55"/>
      <c r="K240" s="56" t="str">
        <f aca="false">IF(OR(F240="",I240=""),"",F240*I240+N(J240))</f>
        <v/>
      </c>
      <c r="L240" s="61" t="str">
        <f aca="false">IF(K240="","",INDEX(Settings!$B$14:$B$18,MATCH(K240,Settings!$A$14:$A$18,1)))</f>
        <v/>
      </c>
      <c r="M240" s="56" t="str">
        <f aca="false">IF(K240="","",CEILING(MAX(K240*(1+L240),K240+Settings!$B$5)/(1-Settings!$B$4),Settings!$B$6))</f>
        <v/>
      </c>
      <c r="N240" s="55"/>
      <c r="O240" s="56" t="str">
        <f aca="false">IF(K240="","",IF(N240="",M240,N240))</f>
        <v/>
      </c>
      <c r="P240" s="56" t="str">
        <f aca="false">IF(O240="","",O240*(1-Settings!$B$4)-K240)</f>
        <v/>
      </c>
      <c r="Q240" s="61" t="str">
        <f aca="false">IF(OR(O240="",O240=0),"",P240/O240)</f>
        <v/>
      </c>
      <c r="R240" s="52"/>
      <c r="S240" s="65" t="str">
        <f aca="false">IF(OR(B240="",R240="Paid",R240="Lost",R240="Shipped"),"",B240+Settings!$B$8)</f>
        <v/>
      </c>
      <c r="T240" s="10" t="str">
        <f aca="true">IF(OR(B240="",R240="Paid",R240="Lost"),"",TODAY()-B240)</f>
        <v/>
      </c>
      <c r="U240" s="53"/>
      <c r="V240" s="66"/>
    </row>
    <row r="241" customFormat="false" ht="15" hidden="false" customHeight="false" outlineLevel="0" collapsed="false">
      <c r="A241" s="10" t="str">
        <f aca="false">IF(B241="","","Q-"&amp;TEXT(ROW()-4,"000"))</f>
        <v/>
      </c>
      <c r="B241" s="53"/>
      <c r="C241" s="52"/>
      <c r="D241" s="52"/>
      <c r="E241" s="52"/>
      <c r="F241" s="52"/>
      <c r="G241" s="53"/>
      <c r="H241" s="52"/>
      <c r="I241" s="55"/>
      <c r="J241" s="55"/>
      <c r="K241" s="56" t="str">
        <f aca="false">IF(OR(F241="",I241=""),"",F241*I241+N(J241))</f>
        <v/>
      </c>
      <c r="L241" s="61" t="str">
        <f aca="false">IF(K241="","",INDEX(Settings!$B$14:$B$18,MATCH(K241,Settings!$A$14:$A$18,1)))</f>
        <v/>
      </c>
      <c r="M241" s="56" t="str">
        <f aca="false">IF(K241="","",CEILING(MAX(K241*(1+L241),K241+Settings!$B$5)/(1-Settings!$B$4),Settings!$B$6))</f>
        <v/>
      </c>
      <c r="N241" s="55"/>
      <c r="O241" s="56" t="str">
        <f aca="false">IF(K241="","",IF(N241="",M241,N241))</f>
        <v/>
      </c>
      <c r="P241" s="56" t="str">
        <f aca="false">IF(O241="","",O241*(1-Settings!$B$4)-K241)</f>
        <v/>
      </c>
      <c r="Q241" s="61" t="str">
        <f aca="false">IF(OR(O241="",O241=0),"",P241/O241)</f>
        <v/>
      </c>
      <c r="R241" s="52"/>
      <c r="S241" s="65" t="str">
        <f aca="false">IF(OR(B241="",R241="Paid",R241="Lost",R241="Shipped"),"",B241+Settings!$B$8)</f>
        <v/>
      </c>
      <c r="T241" s="10" t="str">
        <f aca="true">IF(OR(B241="",R241="Paid",R241="Lost"),"",TODAY()-B241)</f>
        <v/>
      </c>
      <c r="U241" s="53"/>
      <c r="V241" s="66"/>
    </row>
    <row r="242" customFormat="false" ht="15" hidden="false" customHeight="false" outlineLevel="0" collapsed="false">
      <c r="A242" s="10" t="str">
        <f aca="false">IF(B242="","","Q-"&amp;TEXT(ROW()-4,"000"))</f>
        <v/>
      </c>
      <c r="B242" s="53"/>
      <c r="C242" s="52"/>
      <c r="D242" s="52"/>
      <c r="E242" s="52"/>
      <c r="F242" s="52"/>
      <c r="G242" s="53"/>
      <c r="H242" s="52"/>
      <c r="I242" s="55"/>
      <c r="J242" s="55"/>
      <c r="K242" s="56" t="str">
        <f aca="false">IF(OR(F242="",I242=""),"",F242*I242+N(J242))</f>
        <v/>
      </c>
      <c r="L242" s="61" t="str">
        <f aca="false">IF(K242="","",INDEX(Settings!$B$14:$B$18,MATCH(K242,Settings!$A$14:$A$18,1)))</f>
        <v/>
      </c>
      <c r="M242" s="56" t="str">
        <f aca="false">IF(K242="","",CEILING(MAX(K242*(1+L242),K242+Settings!$B$5)/(1-Settings!$B$4),Settings!$B$6))</f>
        <v/>
      </c>
      <c r="N242" s="55"/>
      <c r="O242" s="56" t="str">
        <f aca="false">IF(K242="","",IF(N242="",M242,N242))</f>
        <v/>
      </c>
      <c r="P242" s="56" t="str">
        <f aca="false">IF(O242="","",O242*(1-Settings!$B$4)-K242)</f>
        <v/>
      </c>
      <c r="Q242" s="61" t="str">
        <f aca="false">IF(OR(O242="",O242=0),"",P242/O242)</f>
        <v/>
      </c>
      <c r="R242" s="52"/>
      <c r="S242" s="65" t="str">
        <f aca="false">IF(OR(B242="",R242="Paid",R242="Lost",R242="Shipped"),"",B242+Settings!$B$8)</f>
        <v/>
      </c>
      <c r="T242" s="10" t="str">
        <f aca="true">IF(OR(B242="",R242="Paid",R242="Lost"),"",TODAY()-B242)</f>
        <v/>
      </c>
      <c r="U242" s="53"/>
      <c r="V242" s="66"/>
    </row>
    <row r="243" customFormat="false" ht="15" hidden="false" customHeight="false" outlineLevel="0" collapsed="false">
      <c r="A243" s="10" t="str">
        <f aca="false">IF(B243="","","Q-"&amp;TEXT(ROW()-4,"000"))</f>
        <v/>
      </c>
      <c r="B243" s="53"/>
      <c r="C243" s="52"/>
      <c r="D243" s="52"/>
      <c r="E243" s="52"/>
      <c r="F243" s="52"/>
      <c r="G243" s="53"/>
      <c r="H243" s="52"/>
      <c r="I243" s="55"/>
      <c r="J243" s="55"/>
      <c r="K243" s="56" t="str">
        <f aca="false">IF(OR(F243="",I243=""),"",F243*I243+N(J243))</f>
        <v/>
      </c>
      <c r="L243" s="61" t="str">
        <f aca="false">IF(K243="","",INDEX(Settings!$B$14:$B$18,MATCH(K243,Settings!$A$14:$A$18,1)))</f>
        <v/>
      </c>
      <c r="M243" s="56" t="str">
        <f aca="false">IF(K243="","",CEILING(MAX(K243*(1+L243),K243+Settings!$B$5)/(1-Settings!$B$4),Settings!$B$6))</f>
        <v/>
      </c>
      <c r="N243" s="55"/>
      <c r="O243" s="56" t="str">
        <f aca="false">IF(K243="","",IF(N243="",M243,N243))</f>
        <v/>
      </c>
      <c r="P243" s="56" t="str">
        <f aca="false">IF(O243="","",O243*(1-Settings!$B$4)-K243)</f>
        <v/>
      </c>
      <c r="Q243" s="61" t="str">
        <f aca="false">IF(OR(O243="",O243=0),"",P243/O243)</f>
        <v/>
      </c>
      <c r="R243" s="52"/>
      <c r="S243" s="65" t="str">
        <f aca="false">IF(OR(B243="",R243="Paid",R243="Lost",R243="Shipped"),"",B243+Settings!$B$8)</f>
        <v/>
      </c>
      <c r="T243" s="10" t="str">
        <f aca="true">IF(OR(B243="",R243="Paid",R243="Lost"),"",TODAY()-B243)</f>
        <v/>
      </c>
      <c r="U243" s="53"/>
      <c r="V243" s="66"/>
    </row>
    <row r="244" customFormat="false" ht="15" hidden="false" customHeight="false" outlineLevel="0" collapsed="false">
      <c r="A244" s="10" t="str">
        <f aca="false">IF(B244="","","Q-"&amp;TEXT(ROW()-4,"000"))</f>
        <v/>
      </c>
      <c r="B244" s="53"/>
      <c r="C244" s="52"/>
      <c r="D244" s="52"/>
      <c r="E244" s="52"/>
      <c r="F244" s="52"/>
      <c r="G244" s="53"/>
      <c r="H244" s="52"/>
      <c r="I244" s="55"/>
      <c r="J244" s="55"/>
      <c r="K244" s="56" t="str">
        <f aca="false">IF(OR(F244="",I244=""),"",F244*I244+N(J244))</f>
        <v/>
      </c>
      <c r="L244" s="61" t="str">
        <f aca="false">IF(K244="","",INDEX(Settings!$B$14:$B$18,MATCH(K244,Settings!$A$14:$A$18,1)))</f>
        <v/>
      </c>
      <c r="M244" s="56" t="str">
        <f aca="false">IF(K244="","",CEILING(MAX(K244*(1+L244),K244+Settings!$B$5)/(1-Settings!$B$4),Settings!$B$6))</f>
        <v/>
      </c>
      <c r="N244" s="55"/>
      <c r="O244" s="56" t="str">
        <f aca="false">IF(K244="","",IF(N244="",M244,N244))</f>
        <v/>
      </c>
      <c r="P244" s="56" t="str">
        <f aca="false">IF(O244="","",O244*(1-Settings!$B$4)-K244)</f>
        <v/>
      </c>
      <c r="Q244" s="61" t="str">
        <f aca="false">IF(OR(O244="",O244=0),"",P244/O244)</f>
        <v/>
      </c>
      <c r="R244" s="52"/>
      <c r="S244" s="65" t="str">
        <f aca="false">IF(OR(B244="",R244="Paid",R244="Lost",R244="Shipped"),"",B244+Settings!$B$8)</f>
        <v/>
      </c>
      <c r="T244" s="10" t="str">
        <f aca="true">IF(OR(B244="",R244="Paid",R244="Lost"),"",TODAY()-B244)</f>
        <v/>
      </c>
      <c r="U244" s="53"/>
      <c r="V244" s="66"/>
    </row>
    <row r="245" customFormat="false" ht="15" hidden="false" customHeight="false" outlineLevel="0" collapsed="false">
      <c r="A245" s="10" t="str">
        <f aca="false">IF(B245="","","Q-"&amp;TEXT(ROW()-4,"000"))</f>
        <v/>
      </c>
      <c r="B245" s="53"/>
      <c r="C245" s="52"/>
      <c r="D245" s="52"/>
      <c r="E245" s="52"/>
      <c r="F245" s="52"/>
      <c r="G245" s="53"/>
      <c r="H245" s="52"/>
      <c r="I245" s="55"/>
      <c r="J245" s="55"/>
      <c r="K245" s="56" t="str">
        <f aca="false">IF(OR(F245="",I245=""),"",F245*I245+N(J245))</f>
        <v/>
      </c>
      <c r="L245" s="61" t="str">
        <f aca="false">IF(K245="","",INDEX(Settings!$B$14:$B$18,MATCH(K245,Settings!$A$14:$A$18,1)))</f>
        <v/>
      </c>
      <c r="M245" s="56" t="str">
        <f aca="false">IF(K245="","",CEILING(MAX(K245*(1+L245),K245+Settings!$B$5)/(1-Settings!$B$4),Settings!$B$6))</f>
        <v/>
      </c>
      <c r="N245" s="55"/>
      <c r="O245" s="56" t="str">
        <f aca="false">IF(K245="","",IF(N245="",M245,N245))</f>
        <v/>
      </c>
      <c r="P245" s="56" t="str">
        <f aca="false">IF(O245="","",O245*(1-Settings!$B$4)-K245)</f>
        <v/>
      </c>
      <c r="Q245" s="61" t="str">
        <f aca="false">IF(OR(O245="",O245=0),"",P245/O245)</f>
        <v/>
      </c>
      <c r="R245" s="52"/>
      <c r="S245" s="65" t="str">
        <f aca="false">IF(OR(B245="",R245="Paid",R245="Lost",R245="Shipped"),"",B245+Settings!$B$8)</f>
        <v/>
      </c>
      <c r="T245" s="10" t="str">
        <f aca="true">IF(OR(B245="",R245="Paid",R245="Lost"),"",TODAY()-B245)</f>
        <v/>
      </c>
      <c r="U245" s="53"/>
      <c r="V245" s="66"/>
    </row>
    <row r="246" customFormat="false" ht="15" hidden="false" customHeight="false" outlineLevel="0" collapsed="false">
      <c r="A246" s="10" t="str">
        <f aca="false">IF(B246="","","Q-"&amp;TEXT(ROW()-4,"000"))</f>
        <v/>
      </c>
      <c r="B246" s="53"/>
      <c r="C246" s="52"/>
      <c r="D246" s="52"/>
      <c r="E246" s="52"/>
      <c r="F246" s="52"/>
      <c r="G246" s="53"/>
      <c r="H246" s="52"/>
      <c r="I246" s="55"/>
      <c r="J246" s="55"/>
      <c r="K246" s="56" t="str">
        <f aca="false">IF(OR(F246="",I246=""),"",F246*I246+N(J246))</f>
        <v/>
      </c>
      <c r="L246" s="61" t="str">
        <f aca="false">IF(K246="","",INDEX(Settings!$B$14:$B$18,MATCH(K246,Settings!$A$14:$A$18,1)))</f>
        <v/>
      </c>
      <c r="M246" s="56" t="str">
        <f aca="false">IF(K246="","",CEILING(MAX(K246*(1+L246),K246+Settings!$B$5)/(1-Settings!$B$4),Settings!$B$6))</f>
        <v/>
      </c>
      <c r="N246" s="55"/>
      <c r="O246" s="56" t="str">
        <f aca="false">IF(K246="","",IF(N246="",M246,N246))</f>
        <v/>
      </c>
      <c r="P246" s="56" t="str">
        <f aca="false">IF(O246="","",O246*(1-Settings!$B$4)-K246)</f>
        <v/>
      </c>
      <c r="Q246" s="61" t="str">
        <f aca="false">IF(OR(O246="",O246=0),"",P246/O246)</f>
        <v/>
      </c>
      <c r="R246" s="52"/>
      <c r="S246" s="65" t="str">
        <f aca="false">IF(OR(B246="",R246="Paid",R246="Lost",R246="Shipped"),"",B246+Settings!$B$8)</f>
        <v/>
      </c>
      <c r="T246" s="10" t="str">
        <f aca="true">IF(OR(B246="",R246="Paid",R246="Lost"),"",TODAY()-B246)</f>
        <v/>
      </c>
      <c r="U246" s="53"/>
      <c r="V246" s="66"/>
    </row>
    <row r="247" customFormat="false" ht="15" hidden="false" customHeight="false" outlineLevel="0" collapsed="false">
      <c r="A247" s="10" t="str">
        <f aca="false">IF(B247="","","Q-"&amp;TEXT(ROW()-4,"000"))</f>
        <v/>
      </c>
      <c r="B247" s="53"/>
      <c r="C247" s="52"/>
      <c r="D247" s="52"/>
      <c r="E247" s="52"/>
      <c r="F247" s="52"/>
      <c r="G247" s="53"/>
      <c r="H247" s="52"/>
      <c r="I247" s="55"/>
      <c r="J247" s="55"/>
      <c r="K247" s="56" t="str">
        <f aca="false">IF(OR(F247="",I247=""),"",F247*I247+N(J247))</f>
        <v/>
      </c>
      <c r="L247" s="61" t="str">
        <f aca="false">IF(K247="","",INDEX(Settings!$B$14:$B$18,MATCH(K247,Settings!$A$14:$A$18,1)))</f>
        <v/>
      </c>
      <c r="M247" s="56" t="str">
        <f aca="false">IF(K247="","",CEILING(MAX(K247*(1+L247),K247+Settings!$B$5)/(1-Settings!$B$4),Settings!$B$6))</f>
        <v/>
      </c>
      <c r="N247" s="55"/>
      <c r="O247" s="56" t="str">
        <f aca="false">IF(K247="","",IF(N247="",M247,N247))</f>
        <v/>
      </c>
      <c r="P247" s="56" t="str">
        <f aca="false">IF(O247="","",O247*(1-Settings!$B$4)-K247)</f>
        <v/>
      </c>
      <c r="Q247" s="61" t="str">
        <f aca="false">IF(OR(O247="",O247=0),"",P247/O247)</f>
        <v/>
      </c>
      <c r="R247" s="52"/>
      <c r="S247" s="65" t="str">
        <f aca="false">IF(OR(B247="",R247="Paid",R247="Lost",R247="Shipped"),"",B247+Settings!$B$8)</f>
        <v/>
      </c>
      <c r="T247" s="10" t="str">
        <f aca="true">IF(OR(B247="",R247="Paid",R247="Lost"),"",TODAY()-B247)</f>
        <v/>
      </c>
      <c r="U247" s="53"/>
      <c r="V247" s="66"/>
    </row>
    <row r="248" customFormat="false" ht="15" hidden="false" customHeight="false" outlineLevel="0" collapsed="false">
      <c r="A248" s="10" t="str">
        <f aca="false">IF(B248="","","Q-"&amp;TEXT(ROW()-4,"000"))</f>
        <v/>
      </c>
      <c r="B248" s="53"/>
      <c r="C248" s="52"/>
      <c r="D248" s="52"/>
      <c r="E248" s="52"/>
      <c r="F248" s="52"/>
      <c r="G248" s="53"/>
      <c r="H248" s="52"/>
      <c r="I248" s="55"/>
      <c r="J248" s="55"/>
      <c r="K248" s="56" t="str">
        <f aca="false">IF(OR(F248="",I248=""),"",F248*I248+N(J248))</f>
        <v/>
      </c>
      <c r="L248" s="61" t="str">
        <f aca="false">IF(K248="","",INDEX(Settings!$B$14:$B$18,MATCH(K248,Settings!$A$14:$A$18,1)))</f>
        <v/>
      </c>
      <c r="M248" s="56" t="str">
        <f aca="false">IF(K248="","",CEILING(MAX(K248*(1+L248),K248+Settings!$B$5)/(1-Settings!$B$4),Settings!$B$6))</f>
        <v/>
      </c>
      <c r="N248" s="55"/>
      <c r="O248" s="56" t="str">
        <f aca="false">IF(K248="","",IF(N248="",M248,N248))</f>
        <v/>
      </c>
      <c r="P248" s="56" t="str">
        <f aca="false">IF(O248="","",O248*(1-Settings!$B$4)-K248)</f>
        <v/>
      </c>
      <c r="Q248" s="61" t="str">
        <f aca="false">IF(OR(O248="",O248=0),"",P248/O248)</f>
        <v/>
      </c>
      <c r="R248" s="52"/>
      <c r="S248" s="65" t="str">
        <f aca="false">IF(OR(B248="",R248="Paid",R248="Lost",R248="Shipped"),"",B248+Settings!$B$8)</f>
        <v/>
      </c>
      <c r="T248" s="10" t="str">
        <f aca="true">IF(OR(B248="",R248="Paid",R248="Lost"),"",TODAY()-B248)</f>
        <v/>
      </c>
      <c r="U248" s="53"/>
      <c r="V248" s="66"/>
    </row>
    <row r="249" customFormat="false" ht="15" hidden="false" customHeight="false" outlineLevel="0" collapsed="false">
      <c r="A249" s="10" t="str">
        <f aca="false">IF(B249="","","Q-"&amp;TEXT(ROW()-4,"000"))</f>
        <v/>
      </c>
      <c r="B249" s="53"/>
      <c r="C249" s="52"/>
      <c r="D249" s="52"/>
      <c r="E249" s="52"/>
      <c r="F249" s="52"/>
      <c r="G249" s="53"/>
      <c r="H249" s="52"/>
      <c r="I249" s="55"/>
      <c r="J249" s="55"/>
      <c r="K249" s="56" t="str">
        <f aca="false">IF(OR(F249="",I249=""),"",F249*I249+N(J249))</f>
        <v/>
      </c>
      <c r="L249" s="61" t="str">
        <f aca="false">IF(K249="","",INDEX(Settings!$B$14:$B$18,MATCH(K249,Settings!$A$14:$A$18,1)))</f>
        <v/>
      </c>
      <c r="M249" s="56" t="str">
        <f aca="false">IF(K249="","",CEILING(MAX(K249*(1+L249),K249+Settings!$B$5)/(1-Settings!$B$4),Settings!$B$6))</f>
        <v/>
      </c>
      <c r="N249" s="55"/>
      <c r="O249" s="56" t="str">
        <f aca="false">IF(K249="","",IF(N249="",M249,N249))</f>
        <v/>
      </c>
      <c r="P249" s="56" t="str">
        <f aca="false">IF(O249="","",O249*(1-Settings!$B$4)-K249)</f>
        <v/>
      </c>
      <c r="Q249" s="61" t="str">
        <f aca="false">IF(OR(O249="",O249=0),"",P249/O249)</f>
        <v/>
      </c>
      <c r="R249" s="52"/>
      <c r="S249" s="65" t="str">
        <f aca="false">IF(OR(B249="",R249="Paid",R249="Lost",R249="Shipped"),"",B249+Settings!$B$8)</f>
        <v/>
      </c>
      <c r="T249" s="10" t="str">
        <f aca="true">IF(OR(B249="",R249="Paid",R249="Lost"),"",TODAY()-B249)</f>
        <v/>
      </c>
      <c r="U249" s="53"/>
      <c r="V249" s="66"/>
    </row>
    <row r="250" customFormat="false" ht="15" hidden="false" customHeight="false" outlineLevel="0" collapsed="false">
      <c r="A250" s="10" t="str">
        <f aca="false">IF(B250="","","Q-"&amp;TEXT(ROW()-4,"000"))</f>
        <v/>
      </c>
      <c r="B250" s="53"/>
      <c r="C250" s="52"/>
      <c r="D250" s="52"/>
      <c r="E250" s="52"/>
      <c r="F250" s="52"/>
      <c r="G250" s="53"/>
      <c r="H250" s="52"/>
      <c r="I250" s="55"/>
      <c r="J250" s="55"/>
      <c r="K250" s="56" t="str">
        <f aca="false">IF(OR(F250="",I250=""),"",F250*I250+N(J250))</f>
        <v/>
      </c>
      <c r="L250" s="61" t="str">
        <f aca="false">IF(K250="","",INDEX(Settings!$B$14:$B$18,MATCH(K250,Settings!$A$14:$A$18,1)))</f>
        <v/>
      </c>
      <c r="M250" s="56" t="str">
        <f aca="false">IF(K250="","",CEILING(MAX(K250*(1+L250),K250+Settings!$B$5)/(1-Settings!$B$4),Settings!$B$6))</f>
        <v/>
      </c>
      <c r="N250" s="55"/>
      <c r="O250" s="56" t="str">
        <f aca="false">IF(K250="","",IF(N250="",M250,N250))</f>
        <v/>
      </c>
      <c r="P250" s="56" t="str">
        <f aca="false">IF(O250="","",O250*(1-Settings!$B$4)-K250)</f>
        <v/>
      </c>
      <c r="Q250" s="61" t="str">
        <f aca="false">IF(OR(O250="",O250=0),"",P250/O250)</f>
        <v/>
      </c>
      <c r="R250" s="52"/>
      <c r="S250" s="65" t="str">
        <f aca="false">IF(OR(B250="",R250="Paid",R250="Lost",R250="Shipped"),"",B250+Settings!$B$8)</f>
        <v/>
      </c>
      <c r="T250" s="10" t="str">
        <f aca="true">IF(OR(B250="",R250="Paid",R250="Lost"),"",TODAY()-B250)</f>
        <v/>
      </c>
      <c r="U250" s="53"/>
      <c r="V250" s="66"/>
    </row>
    <row r="251" customFormat="false" ht="15" hidden="false" customHeight="false" outlineLevel="0" collapsed="false">
      <c r="A251" s="10" t="str">
        <f aca="false">IF(B251="","","Q-"&amp;TEXT(ROW()-4,"000"))</f>
        <v/>
      </c>
      <c r="B251" s="53"/>
      <c r="C251" s="52"/>
      <c r="D251" s="52"/>
      <c r="E251" s="52"/>
      <c r="F251" s="52"/>
      <c r="G251" s="53"/>
      <c r="H251" s="52"/>
      <c r="I251" s="55"/>
      <c r="J251" s="55"/>
      <c r="K251" s="56" t="str">
        <f aca="false">IF(OR(F251="",I251=""),"",F251*I251+N(J251))</f>
        <v/>
      </c>
      <c r="L251" s="61" t="str">
        <f aca="false">IF(K251="","",INDEX(Settings!$B$14:$B$18,MATCH(K251,Settings!$A$14:$A$18,1)))</f>
        <v/>
      </c>
      <c r="M251" s="56" t="str">
        <f aca="false">IF(K251="","",CEILING(MAX(K251*(1+L251),K251+Settings!$B$5)/(1-Settings!$B$4),Settings!$B$6))</f>
        <v/>
      </c>
      <c r="N251" s="55"/>
      <c r="O251" s="56" t="str">
        <f aca="false">IF(K251="","",IF(N251="",M251,N251))</f>
        <v/>
      </c>
      <c r="P251" s="56" t="str">
        <f aca="false">IF(O251="","",O251*(1-Settings!$B$4)-K251)</f>
        <v/>
      </c>
      <c r="Q251" s="61" t="str">
        <f aca="false">IF(OR(O251="",O251=0),"",P251/O251)</f>
        <v/>
      </c>
      <c r="R251" s="52"/>
      <c r="S251" s="65" t="str">
        <f aca="false">IF(OR(B251="",R251="Paid",R251="Lost",R251="Shipped"),"",B251+Settings!$B$8)</f>
        <v/>
      </c>
      <c r="T251" s="10" t="str">
        <f aca="true">IF(OR(B251="",R251="Paid",R251="Lost"),"",TODAY()-B251)</f>
        <v/>
      </c>
      <c r="U251" s="53"/>
      <c r="V251" s="66"/>
    </row>
    <row r="252" customFormat="false" ht="15" hidden="false" customHeight="false" outlineLevel="0" collapsed="false">
      <c r="A252" s="10" t="str">
        <f aca="false">IF(B252="","","Q-"&amp;TEXT(ROW()-4,"000"))</f>
        <v/>
      </c>
      <c r="B252" s="53"/>
      <c r="C252" s="52"/>
      <c r="D252" s="52"/>
      <c r="E252" s="52"/>
      <c r="F252" s="52"/>
      <c r="G252" s="53"/>
      <c r="H252" s="52"/>
      <c r="I252" s="55"/>
      <c r="J252" s="55"/>
      <c r="K252" s="56" t="str">
        <f aca="false">IF(OR(F252="",I252=""),"",F252*I252+N(J252))</f>
        <v/>
      </c>
      <c r="L252" s="61" t="str">
        <f aca="false">IF(K252="","",INDEX(Settings!$B$14:$B$18,MATCH(K252,Settings!$A$14:$A$18,1)))</f>
        <v/>
      </c>
      <c r="M252" s="56" t="str">
        <f aca="false">IF(K252="","",CEILING(MAX(K252*(1+L252),K252+Settings!$B$5)/(1-Settings!$B$4),Settings!$B$6))</f>
        <v/>
      </c>
      <c r="N252" s="55"/>
      <c r="O252" s="56" t="str">
        <f aca="false">IF(K252="","",IF(N252="",M252,N252))</f>
        <v/>
      </c>
      <c r="P252" s="56" t="str">
        <f aca="false">IF(O252="","",O252*(1-Settings!$B$4)-K252)</f>
        <v/>
      </c>
      <c r="Q252" s="61" t="str">
        <f aca="false">IF(OR(O252="",O252=0),"",P252/O252)</f>
        <v/>
      </c>
      <c r="R252" s="52"/>
      <c r="S252" s="65" t="str">
        <f aca="false">IF(OR(B252="",R252="Paid",R252="Lost",R252="Shipped"),"",B252+Settings!$B$8)</f>
        <v/>
      </c>
      <c r="T252" s="10" t="str">
        <f aca="true">IF(OR(B252="",R252="Paid",R252="Lost"),"",TODAY()-B252)</f>
        <v/>
      </c>
      <c r="U252" s="53"/>
      <c r="V252" s="66"/>
    </row>
    <row r="253" customFormat="false" ht="15" hidden="false" customHeight="false" outlineLevel="0" collapsed="false">
      <c r="A253" s="10" t="str">
        <f aca="false">IF(B253="","","Q-"&amp;TEXT(ROW()-4,"000"))</f>
        <v/>
      </c>
      <c r="B253" s="53"/>
      <c r="C253" s="52"/>
      <c r="D253" s="52"/>
      <c r="E253" s="52"/>
      <c r="F253" s="52"/>
      <c r="G253" s="53"/>
      <c r="H253" s="52"/>
      <c r="I253" s="55"/>
      <c r="J253" s="55"/>
      <c r="K253" s="56" t="str">
        <f aca="false">IF(OR(F253="",I253=""),"",F253*I253+N(J253))</f>
        <v/>
      </c>
      <c r="L253" s="61" t="str">
        <f aca="false">IF(K253="","",INDEX(Settings!$B$14:$B$18,MATCH(K253,Settings!$A$14:$A$18,1)))</f>
        <v/>
      </c>
      <c r="M253" s="56" t="str">
        <f aca="false">IF(K253="","",CEILING(MAX(K253*(1+L253),K253+Settings!$B$5)/(1-Settings!$B$4),Settings!$B$6))</f>
        <v/>
      </c>
      <c r="N253" s="55"/>
      <c r="O253" s="56" t="str">
        <f aca="false">IF(K253="","",IF(N253="",M253,N253))</f>
        <v/>
      </c>
      <c r="P253" s="56" t="str">
        <f aca="false">IF(O253="","",O253*(1-Settings!$B$4)-K253)</f>
        <v/>
      </c>
      <c r="Q253" s="61" t="str">
        <f aca="false">IF(OR(O253="",O253=0),"",P253/O253)</f>
        <v/>
      </c>
      <c r="R253" s="52"/>
      <c r="S253" s="65" t="str">
        <f aca="false">IF(OR(B253="",R253="Paid",R253="Lost",R253="Shipped"),"",B253+Settings!$B$8)</f>
        <v/>
      </c>
      <c r="T253" s="10" t="str">
        <f aca="true">IF(OR(B253="",R253="Paid",R253="Lost"),"",TODAY()-B253)</f>
        <v/>
      </c>
      <c r="U253" s="53"/>
      <c r="V253" s="66"/>
    </row>
    <row r="254" customFormat="false" ht="15" hidden="false" customHeight="false" outlineLevel="0" collapsed="false">
      <c r="A254" s="10" t="str">
        <f aca="false">IF(B254="","","Q-"&amp;TEXT(ROW()-4,"000"))</f>
        <v/>
      </c>
      <c r="B254" s="53"/>
      <c r="C254" s="52"/>
      <c r="D254" s="52"/>
      <c r="E254" s="52"/>
      <c r="F254" s="52"/>
      <c r="G254" s="53"/>
      <c r="H254" s="52"/>
      <c r="I254" s="55"/>
      <c r="J254" s="55"/>
      <c r="K254" s="56" t="str">
        <f aca="false">IF(OR(F254="",I254=""),"",F254*I254+N(J254))</f>
        <v/>
      </c>
      <c r="L254" s="61" t="str">
        <f aca="false">IF(K254="","",INDEX(Settings!$B$14:$B$18,MATCH(K254,Settings!$A$14:$A$18,1)))</f>
        <v/>
      </c>
      <c r="M254" s="56" t="str">
        <f aca="false">IF(K254="","",CEILING(MAX(K254*(1+L254),K254+Settings!$B$5)/(1-Settings!$B$4),Settings!$B$6))</f>
        <v/>
      </c>
      <c r="N254" s="55"/>
      <c r="O254" s="56" t="str">
        <f aca="false">IF(K254="","",IF(N254="",M254,N254))</f>
        <v/>
      </c>
      <c r="P254" s="56" t="str">
        <f aca="false">IF(O254="","",O254*(1-Settings!$B$4)-K254)</f>
        <v/>
      </c>
      <c r="Q254" s="61" t="str">
        <f aca="false">IF(OR(O254="",O254=0),"",P254/O254)</f>
        <v/>
      </c>
      <c r="R254" s="52"/>
      <c r="S254" s="65" t="str">
        <f aca="false">IF(OR(B254="",R254="Paid",R254="Lost",R254="Shipped"),"",B254+Settings!$B$8)</f>
        <v/>
      </c>
      <c r="T254" s="10" t="str">
        <f aca="true">IF(OR(B254="",R254="Paid",R254="Lost"),"",TODAY()-B254)</f>
        <v/>
      </c>
      <c r="U254" s="53"/>
      <c r="V254" s="66"/>
    </row>
    <row r="255" customFormat="false" ht="15" hidden="false" customHeight="false" outlineLevel="0" collapsed="false">
      <c r="A255" s="10" t="str">
        <f aca="false">IF(B255="","","Q-"&amp;TEXT(ROW()-4,"000"))</f>
        <v/>
      </c>
      <c r="B255" s="53"/>
      <c r="C255" s="52"/>
      <c r="D255" s="52"/>
      <c r="E255" s="52"/>
      <c r="F255" s="52"/>
      <c r="G255" s="53"/>
      <c r="H255" s="52"/>
      <c r="I255" s="55"/>
      <c r="J255" s="55"/>
      <c r="K255" s="56" t="str">
        <f aca="false">IF(OR(F255="",I255=""),"",F255*I255+N(J255))</f>
        <v/>
      </c>
      <c r="L255" s="61" t="str">
        <f aca="false">IF(K255="","",INDEX(Settings!$B$14:$B$18,MATCH(K255,Settings!$A$14:$A$18,1)))</f>
        <v/>
      </c>
      <c r="M255" s="56" t="str">
        <f aca="false">IF(K255="","",CEILING(MAX(K255*(1+L255),K255+Settings!$B$5)/(1-Settings!$B$4),Settings!$B$6))</f>
        <v/>
      </c>
      <c r="N255" s="55"/>
      <c r="O255" s="56" t="str">
        <f aca="false">IF(K255="","",IF(N255="",M255,N255))</f>
        <v/>
      </c>
      <c r="P255" s="56" t="str">
        <f aca="false">IF(O255="","",O255*(1-Settings!$B$4)-K255)</f>
        <v/>
      </c>
      <c r="Q255" s="61" t="str">
        <f aca="false">IF(OR(O255="",O255=0),"",P255/O255)</f>
        <v/>
      </c>
      <c r="R255" s="52"/>
      <c r="S255" s="65" t="str">
        <f aca="false">IF(OR(B255="",R255="Paid",R255="Lost",R255="Shipped"),"",B255+Settings!$B$8)</f>
        <v/>
      </c>
      <c r="T255" s="10" t="str">
        <f aca="true">IF(OR(B255="",R255="Paid",R255="Lost"),"",TODAY()-B255)</f>
        <v/>
      </c>
      <c r="U255" s="53"/>
      <c r="V255" s="66"/>
    </row>
    <row r="256" customFormat="false" ht="15" hidden="false" customHeight="false" outlineLevel="0" collapsed="false">
      <c r="A256" s="10" t="str">
        <f aca="false">IF(B256="","","Q-"&amp;TEXT(ROW()-4,"000"))</f>
        <v/>
      </c>
      <c r="B256" s="53"/>
      <c r="C256" s="52"/>
      <c r="D256" s="52"/>
      <c r="E256" s="52"/>
      <c r="F256" s="52"/>
      <c r="G256" s="53"/>
      <c r="H256" s="52"/>
      <c r="I256" s="55"/>
      <c r="J256" s="55"/>
      <c r="K256" s="56" t="str">
        <f aca="false">IF(OR(F256="",I256=""),"",F256*I256+N(J256))</f>
        <v/>
      </c>
      <c r="L256" s="61" t="str">
        <f aca="false">IF(K256="","",INDEX(Settings!$B$14:$B$18,MATCH(K256,Settings!$A$14:$A$18,1)))</f>
        <v/>
      </c>
      <c r="M256" s="56" t="str">
        <f aca="false">IF(K256="","",CEILING(MAX(K256*(1+L256),K256+Settings!$B$5)/(1-Settings!$B$4),Settings!$B$6))</f>
        <v/>
      </c>
      <c r="N256" s="55"/>
      <c r="O256" s="56" t="str">
        <f aca="false">IF(K256="","",IF(N256="",M256,N256))</f>
        <v/>
      </c>
      <c r="P256" s="56" t="str">
        <f aca="false">IF(O256="","",O256*(1-Settings!$B$4)-K256)</f>
        <v/>
      </c>
      <c r="Q256" s="61" t="str">
        <f aca="false">IF(OR(O256="",O256=0),"",P256/O256)</f>
        <v/>
      </c>
      <c r="R256" s="52"/>
      <c r="S256" s="65" t="str">
        <f aca="false">IF(OR(B256="",R256="Paid",R256="Lost",R256="Shipped"),"",B256+Settings!$B$8)</f>
        <v/>
      </c>
      <c r="T256" s="10" t="str">
        <f aca="true">IF(OR(B256="",R256="Paid",R256="Lost"),"",TODAY()-B256)</f>
        <v/>
      </c>
      <c r="U256" s="53"/>
      <c r="V256" s="66"/>
    </row>
    <row r="257" customFormat="false" ht="15" hidden="false" customHeight="false" outlineLevel="0" collapsed="false">
      <c r="A257" s="10" t="str">
        <f aca="false">IF(B257="","","Q-"&amp;TEXT(ROW()-4,"000"))</f>
        <v/>
      </c>
      <c r="B257" s="53"/>
      <c r="C257" s="52"/>
      <c r="D257" s="52"/>
      <c r="E257" s="52"/>
      <c r="F257" s="52"/>
      <c r="G257" s="53"/>
      <c r="H257" s="52"/>
      <c r="I257" s="55"/>
      <c r="J257" s="55"/>
      <c r="K257" s="56" t="str">
        <f aca="false">IF(OR(F257="",I257=""),"",F257*I257+N(J257))</f>
        <v/>
      </c>
      <c r="L257" s="61" t="str">
        <f aca="false">IF(K257="","",INDEX(Settings!$B$14:$B$18,MATCH(K257,Settings!$A$14:$A$18,1)))</f>
        <v/>
      </c>
      <c r="M257" s="56" t="str">
        <f aca="false">IF(K257="","",CEILING(MAX(K257*(1+L257),K257+Settings!$B$5)/(1-Settings!$B$4),Settings!$B$6))</f>
        <v/>
      </c>
      <c r="N257" s="55"/>
      <c r="O257" s="56" t="str">
        <f aca="false">IF(K257="","",IF(N257="",M257,N257))</f>
        <v/>
      </c>
      <c r="P257" s="56" t="str">
        <f aca="false">IF(O257="","",O257*(1-Settings!$B$4)-K257)</f>
        <v/>
      </c>
      <c r="Q257" s="61" t="str">
        <f aca="false">IF(OR(O257="",O257=0),"",P257/O257)</f>
        <v/>
      </c>
      <c r="R257" s="52"/>
      <c r="S257" s="65" t="str">
        <f aca="false">IF(OR(B257="",R257="Paid",R257="Lost",R257="Shipped"),"",B257+Settings!$B$8)</f>
        <v/>
      </c>
      <c r="T257" s="10" t="str">
        <f aca="true">IF(OR(B257="",R257="Paid",R257="Lost"),"",TODAY()-B257)</f>
        <v/>
      </c>
      <c r="U257" s="53"/>
      <c r="V257" s="66"/>
    </row>
    <row r="258" customFormat="false" ht="15" hidden="false" customHeight="false" outlineLevel="0" collapsed="false">
      <c r="A258" s="10" t="str">
        <f aca="false">IF(B258="","","Q-"&amp;TEXT(ROW()-4,"000"))</f>
        <v/>
      </c>
      <c r="B258" s="53"/>
      <c r="C258" s="52"/>
      <c r="D258" s="52"/>
      <c r="E258" s="52"/>
      <c r="F258" s="52"/>
      <c r="G258" s="53"/>
      <c r="H258" s="52"/>
      <c r="I258" s="55"/>
      <c r="J258" s="55"/>
      <c r="K258" s="56" t="str">
        <f aca="false">IF(OR(F258="",I258=""),"",F258*I258+N(J258))</f>
        <v/>
      </c>
      <c r="L258" s="61" t="str">
        <f aca="false">IF(K258="","",INDEX(Settings!$B$14:$B$18,MATCH(K258,Settings!$A$14:$A$18,1)))</f>
        <v/>
      </c>
      <c r="M258" s="56" t="str">
        <f aca="false">IF(K258="","",CEILING(MAX(K258*(1+L258),K258+Settings!$B$5)/(1-Settings!$B$4),Settings!$B$6))</f>
        <v/>
      </c>
      <c r="N258" s="55"/>
      <c r="O258" s="56" t="str">
        <f aca="false">IF(K258="","",IF(N258="",M258,N258))</f>
        <v/>
      </c>
      <c r="P258" s="56" t="str">
        <f aca="false">IF(O258="","",O258*(1-Settings!$B$4)-K258)</f>
        <v/>
      </c>
      <c r="Q258" s="61" t="str">
        <f aca="false">IF(OR(O258="",O258=0),"",P258/O258)</f>
        <v/>
      </c>
      <c r="R258" s="52"/>
      <c r="S258" s="65" t="str">
        <f aca="false">IF(OR(B258="",R258="Paid",R258="Lost",R258="Shipped"),"",B258+Settings!$B$8)</f>
        <v/>
      </c>
      <c r="T258" s="10" t="str">
        <f aca="true">IF(OR(B258="",R258="Paid",R258="Lost"),"",TODAY()-B258)</f>
        <v/>
      </c>
      <c r="U258" s="53"/>
      <c r="V258" s="66"/>
    </row>
    <row r="259" customFormat="false" ht="15" hidden="false" customHeight="false" outlineLevel="0" collapsed="false">
      <c r="A259" s="10" t="str">
        <f aca="false">IF(B259="","","Q-"&amp;TEXT(ROW()-4,"000"))</f>
        <v/>
      </c>
      <c r="B259" s="53"/>
      <c r="C259" s="52"/>
      <c r="D259" s="52"/>
      <c r="E259" s="52"/>
      <c r="F259" s="52"/>
      <c r="G259" s="53"/>
      <c r="H259" s="52"/>
      <c r="I259" s="55"/>
      <c r="J259" s="55"/>
      <c r="K259" s="56" t="str">
        <f aca="false">IF(OR(F259="",I259=""),"",F259*I259+N(J259))</f>
        <v/>
      </c>
      <c r="L259" s="61" t="str">
        <f aca="false">IF(K259="","",INDEX(Settings!$B$14:$B$18,MATCH(K259,Settings!$A$14:$A$18,1)))</f>
        <v/>
      </c>
      <c r="M259" s="56" t="str">
        <f aca="false">IF(K259="","",CEILING(MAX(K259*(1+L259),K259+Settings!$B$5)/(1-Settings!$B$4),Settings!$B$6))</f>
        <v/>
      </c>
      <c r="N259" s="55"/>
      <c r="O259" s="56" t="str">
        <f aca="false">IF(K259="","",IF(N259="",M259,N259))</f>
        <v/>
      </c>
      <c r="P259" s="56" t="str">
        <f aca="false">IF(O259="","",O259*(1-Settings!$B$4)-K259)</f>
        <v/>
      </c>
      <c r="Q259" s="61" t="str">
        <f aca="false">IF(OR(O259="",O259=0),"",P259/O259)</f>
        <v/>
      </c>
      <c r="R259" s="52"/>
      <c r="S259" s="65" t="str">
        <f aca="false">IF(OR(B259="",R259="Paid",R259="Lost",R259="Shipped"),"",B259+Settings!$B$8)</f>
        <v/>
      </c>
      <c r="T259" s="10" t="str">
        <f aca="true">IF(OR(B259="",R259="Paid",R259="Lost"),"",TODAY()-B259)</f>
        <v/>
      </c>
      <c r="U259" s="53"/>
      <c r="V259" s="66"/>
    </row>
    <row r="260" customFormat="false" ht="15" hidden="false" customHeight="false" outlineLevel="0" collapsed="false">
      <c r="A260" s="10" t="str">
        <f aca="false">IF(B260="","","Q-"&amp;TEXT(ROW()-4,"000"))</f>
        <v/>
      </c>
      <c r="B260" s="53"/>
      <c r="C260" s="52"/>
      <c r="D260" s="52"/>
      <c r="E260" s="52"/>
      <c r="F260" s="52"/>
      <c r="G260" s="53"/>
      <c r="H260" s="52"/>
      <c r="I260" s="55"/>
      <c r="J260" s="55"/>
      <c r="K260" s="56" t="str">
        <f aca="false">IF(OR(F260="",I260=""),"",F260*I260+N(J260))</f>
        <v/>
      </c>
      <c r="L260" s="61" t="str">
        <f aca="false">IF(K260="","",INDEX(Settings!$B$14:$B$18,MATCH(K260,Settings!$A$14:$A$18,1)))</f>
        <v/>
      </c>
      <c r="M260" s="56" t="str">
        <f aca="false">IF(K260="","",CEILING(MAX(K260*(1+L260),K260+Settings!$B$5)/(1-Settings!$B$4),Settings!$B$6))</f>
        <v/>
      </c>
      <c r="N260" s="55"/>
      <c r="O260" s="56" t="str">
        <f aca="false">IF(K260="","",IF(N260="",M260,N260))</f>
        <v/>
      </c>
      <c r="P260" s="56" t="str">
        <f aca="false">IF(O260="","",O260*(1-Settings!$B$4)-K260)</f>
        <v/>
      </c>
      <c r="Q260" s="61" t="str">
        <f aca="false">IF(OR(O260="",O260=0),"",P260/O260)</f>
        <v/>
      </c>
      <c r="R260" s="52"/>
      <c r="S260" s="65" t="str">
        <f aca="false">IF(OR(B260="",R260="Paid",R260="Lost",R260="Shipped"),"",B260+Settings!$B$8)</f>
        <v/>
      </c>
      <c r="T260" s="10" t="str">
        <f aca="true">IF(OR(B260="",R260="Paid",R260="Lost"),"",TODAY()-B260)</f>
        <v/>
      </c>
      <c r="U260" s="53"/>
      <c r="V260" s="66"/>
    </row>
    <row r="261" customFormat="false" ht="15" hidden="false" customHeight="false" outlineLevel="0" collapsed="false">
      <c r="A261" s="10" t="str">
        <f aca="false">IF(B261="","","Q-"&amp;TEXT(ROW()-4,"000"))</f>
        <v/>
      </c>
      <c r="B261" s="53"/>
      <c r="C261" s="52"/>
      <c r="D261" s="52"/>
      <c r="E261" s="52"/>
      <c r="F261" s="52"/>
      <c r="G261" s="53"/>
      <c r="H261" s="52"/>
      <c r="I261" s="55"/>
      <c r="J261" s="55"/>
      <c r="K261" s="56" t="str">
        <f aca="false">IF(OR(F261="",I261=""),"",F261*I261+N(J261))</f>
        <v/>
      </c>
      <c r="L261" s="61" t="str">
        <f aca="false">IF(K261="","",INDEX(Settings!$B$14:$B$18,MATCH(K261,Settings!$A$14:$A$18,1)))</f>
        <v/>
      </c>
      <c r="M261" s="56" t="str">
        <f aca="false">IF(K261="","",CEILING(MAX(K261*(1+L261),K261+Settings!$B$5)/(1-Settings!$B$4),Settings!$B$6))</f>
        <v/>
      </c>
      <c r="N261" s="55"/>
      <c r="O261" s="56" t="str">
        <f aca="false">IF(K261="","",IF(N261="",M261,N261))</f>
        <v/>
      </c>
      <c r="P261" s="56" t="str">
        <f aca="false">IF(O261="","",O261*(1-Settings!$B$4)-K261)</f>
        <v/>
      </c>
      <c r="Q261" s="61" t="str">
        <f aca="false">IF(OR(O261="",O261=0),"",P261/O261)</f>
        <v/>
      </c>
      <c r="R261" s="52"/>
      <c r="S261" s="65" t="str">
        <f aca="false">IF(OR(B261="",R261="Paid",R261="Lost",R261="Shipped"),"",B261+Settings!$B$8)</f>
        <v/>
      </c>
      <c r="T261" s="10" t="str">
        <f aca="true">IF(OR(B261="",R261="Paid",R261="Lost"),"",TODAY()-B261)</f>
        <v/>
      </c>
      <c r="U261" s="53"/>
      <c r="V261" s="66"/>
    </row>
    <row r="262" customFormat="false" ht="15" hidden="false" customHeight="false" outlineLevel="0" collapsed="false">
      <c r="A262" s="10" t="str">
        <f aca="false">IF(B262="","","Q-"&amp;TEXT(ROW()-4,"000"))</f>
        <v/>
      </c>
      <c r="B262" s="53"/>
      <c r="C262" s="52"/>
      <c r="D262" s="52"/>
      <c r="E262" s="52"/>
      <c r="F262" s="52"/>
      <c r="G262" s="53"/>
      <c r="H262" s="52"/>
      <c r="I262" s="55"/>
      <c r="J262" s="55"/>
      <c r="K262" s="56" t="str">
        <f aca="false">IF(OR(F262="",I262=""),"",F262*I262+N(J262))</f>
        <v/>
      </c>
      <c r="L262" s="61" t="str">
        <f aca="false">IF(K262="","",INDEX(Settings!$B$14:$B$18,MATCH(K262,Settings!$A$14:$A$18,1)))</f>
        <v/>
      </c>
      <c r="M262" s="56" t="str">
        <f aca="false">IF(K262="","",CEILING(MAX(K262*(1+L262),K262+Settings!$B$5)/(1-Settings!$B$4),Settings!$B$6))</f>
        <v/>
      </c>
      <c r="N262" s="55"/>
      <c r="O262" s="56" t="str">
        <f aca="false">IF(K262="","",IF(N262="",M262,N262))</f>
        <v/>
      </c>
      <c r="P262" s="56" t="str">
        <f aca="false">IF(O262="","",O262*(1-Settings!$B$4)-K262)</f>
        <v/>
      </c>
      <c r="Q262" s="61" t="str">
        <f aca="false">IF(OR(O262="",O262=0),"",P262/O262)</f>
        <v/>
      </c>
      <c r="R262" s="52"/>
      <c r="S262" s="65" t="str">
        <f aca="false">IF(OR(B262="",R262="Paid",R262="Lost",R262="Shipped"),"",B262+Settings!$B$8)</f>
        <v/>
      </c>
      <c r="T262" s="10" t="str">
        <f aca="true">IF(OR(B262="",R262="Paid",R262="Lost"),"",TODAY()-B262)</f>
        <v/>
      </c>
      <c r="U262" s="53"/>
      <c r="V262" s="66"/>
    </row>
    <row r="263" customFormat="false" ht="15" hidden="false" customHeight="false" outlineLevel="0" collapsed="false">
      <c r="A263" s="10" t="str">
        <f aca="false">IF(B263="","","Q-"&amp;TEXT(ROW()-4,"000"))</f>
        <v/>
      </c>
      <c r="B263" s="53"/>
      <c r="C263" s="52"/>
      <c r="D263" s="52"/>
      <c r="E263" s="52"/>
      <c r="F263" s="52"/>
      <c r="G263" s="53"/>
      <c r="H263" s="52"/>
      <c r="I263" s="55"/>
      <c r="J263" s="55"/>
      <c r="K263" s="56" t="str">
        <f aca="false">IF(OR(F263="",I263=""),"",F263*I263+N(J263))</f>
        <v/>
      </c>
      <c r="L263" s="61" t="str">
        <f aca="false">IF(K263="","",INDEX(Settings!$B$14:$B$18,MATCH(K263,Settings!$A$14:$A$18,1)))</f>
        <v/>
      </c>
      <c r="M263" s="56" t="str">
        <f aca="false">IF(K263="","",CEILING(MAX(K263*(1+L263),K263+Settings!$B$5)/(1-Settings!$B$4),Settings!$B$6))</f>
        <v/>
      </c>
      <c r="N263" s="55"/>
      <c r="O263" s="56" t="str">
        <f aca="false">IF(K263="","",IF(N263="",M263,N263))</f>
        <v/>
      </c>
      <c r="P263" s="56" t="str">
        <f aca="false">IF(O263="","",O263*(1-Settings!$B$4)-K263)</f>
        <v/>
      </c>
      <c r="Q263" s="61" t="str">
        <f aca="false">IF(OR(O263="",O263=0),"",P263/O263)</f>
        <v/>
      </c>
      <c r="R263" s="52"/>
      <c r="S263" s="65" t="str">
        <f aca="false">IF(OR(B263="",R263="Paid",R263="Lost",R263="Shipped"),"",B263+Settings!$B$8)</f>
        <v/>
      </c>
      <c r="T263" s="10" t="str">
        <f aca="true">IF(OR(B263="",R263="Paid",R263="Lost"),"",TODAY()-B263)</f>
        <v/>
      </c>
      <c r="U263" s="53"/>
      <c r="V263" s="66"/>
    </row>
    <row r="264" customFormat="false" ht="15" hidden="false" customHeight="false" outlineLevel="0" collapsed="false">
      <c r="A264" s="10" t="str">
        <f aca="false">IF(B264="","","Q-"&amp;TEXT(ROW()-4,"000"))</f>
        <v/>
      </c>
      <c r="B264" s="53"/>
      <c r="C264" s="52"/>
      <c r="D264" s="52"/>
      <c r="E264" s="52"/>
      <c r="F264" s="52"/>
      <c r="G264" s="53"/>
      <c r="H264" s="52"/>
      <c r="I264" s="55"/>
      <c r="J264" s="55"/>
      <c r="K264" s="56" t="str">
        <f aca="false">IF(OR(F264="",I264=""),"",F264*I264+N(J264))</f>
        <v/>
      </c>
      <c r="L264" s="61" t="str">
        <f aca="false">IF(K264="","",INDEX(Settings!$B$14:$B$18,MATCH(K264,Settings!$A$14:$A$18,1)))</f>
        <v/>
      </c>
      <c r="M264" s="56" t="str">
        <f aca="false">IF(K264="","",CEILING(MAX(K264*(1+L264),K264+Settings!$B$5)/(1-Settings!$B$4),Settings!$B$6))</f>
        <v/>
      </c>
      <c r="N264" s="55"/>
      <c r="O264" s="56" t="str">
        <f aca="false">IF(K264="","",IF(N264="",M264,N264))</f>
        <v/>
      </c>
      <c r="P264" s="56" t="str">
        <f aca="false">IF(O264="","",O264*(1-Settings!$B$4)-K264)</f>
        <v/>
      </c>
      <c r="Q264" s="61" t="str">
        <f aca="false">IF(OR(O264="",O264=0),"",P264/O264)</f>
        <v/>
      </c>
      <c r="R264" s="52"/>
      <c r="S264" s="65" t="str">
        <f aca="false">IF(OR(B264="",R264="Paid",R264="Lost",R264="Shipped"),"",B264+Settings!$B$8)</f>
        <v/>
      </c>
      <c r="T264" s="10" t="str">
        <f aca="true">IF(OR(B264="",R264="Paid",R264="Lost"),"",TODAY()-B264)</f>
        <v/>
      </c>
      <c r="U264" s="53"/>
      <c r="V264" s="66"/>
    </row>
    <row r="265" customFormat="false" ht="15" hidden="false" customHeight="false" outlineLevel="0" collapsed="false">
      <c r="A265" s="10" t="str">
        <f aca="false">IF(B265="","","Q-"&amp;TEXT(ROW()-4,"000"))</f>
        <v/>
      </c>
      <c r="B265" s="53"/>
      <c r="C265" s="52"/>
      <c r="D265" s="52"/>
      <c r="E265" s="52"/>
      <c r="F265" s="52"/>
      <c r="G265" s="53"/>
      <c r="H265" s="52"/>
      <c r="I265" s="55"/>
      <c r="J265" s="55"/>
      <c r="K265" s="56" t="str">
        <f aca="false">IF(OR(F265="",I265=""),"",F265*I265+N(J265))</f>
        <v/>
      </c>
      <c r="L265" s="61" t="str">
        <f aca="false">IF(K265="","",INDEX(Settings!$B$14:$B$18,MATCH(K265,Settings!$A$14:$A$18,1)))</f>
        <v/>
      </c>
      <c r="M265" s="56" t="str">
        <f aca="false">IF(K265="","",CEILING(MAX(K265*(1+L265),K265+Settings!$B$5)/(1-Settings!$B$4),Settings!$B$6))</f>
        <v/>
      </c>
      <c r="N265" s="55"/>
      <c r="O265" s="56" t="str">
        <f aca="false">IF(K265="","",IF(N265="",M265,N265))</f>
        <v/>
      </c>
      <c r="P265" s="56" t="str">
        <f aca="false">IF(O265="","",O265*(1-Settings!$B$4)-K265)</f>
        <v/>
      </c>
      <c r="Q265" s="61" t="str">
        <f aca="false">IF(OR(O265="",O265=0),"",P265/O265)</f>
        <v/>
      </c>
      <c r="R265" s="52"/>
      <c r="S265" s="65" t="str">
        <f aca="false">IF(OR(B265="",R265="Paid",R265="Lost",R265="Shipped"),"",B265+Settings!$B$8)</f>
        <v/>
      </c>
      <c r="T265" s="10" t="str">
        <f aca="true">IF(OR(B265="",R265="Paid",R265="Lost"),"",TODAY()-B265)</f>
        <v/>
      </c>
      <c r="U265" s="53"/>
      <c r="V265" s="66"/>
    </row>
    <row r="266" customFormat="false" ht="15" hidden="false" customHeight="false" outlineLevel="0" collapsed="false">
      <c r="A266" s="10" t="str">
        <f aca="false">IF(B266="","","Q-"&amp;TEXT(ROW()-4,"000"))</f>
        <v/>
      </c>
      <c r="B266" s="53"/>
      <c r="C266" s="52"/>
      <c r="D266" s="52"/>
      <c r="E266" s="52"/>
      <c r="F266" s="52"/>
      <c r="G266" s="53"/>
      <c r="H266" s="52"/>
      <c r="I266" s="55"/>
      <c r="J266" s="55"/>
      <c r="K266" s="56" t="str">
        <f aca="false">IF(OR(F266="",I266=""),"",F266*I266+N(J266))</f>
        <v/>
      </c>
      <c r="L266" s="61" t="str">
        <f aca="false">IF(K266="","",INDEX(Settings!$B$14:$B$18,MATCH(K266,Settings!$A$14:$A$18,1)))</f>
        <v/>
      </c>
      <c r="M266" s="56" t="str">
        <f aca="false">IF(K266="","",CEILING(MAX(K266*(1+L266),K266+Settings!$B$5)/(1-Settings!$B$4),Settings!$B$6))</f>
        <v/>
      </c>
      <c r="N266" s="55"/>
      <c r="O266" s="56" t="str">
        <f aca="false">IF(K266="","",IF(N266="",M266,N266))</f>
        <v/>
      </c>
      <c r="P266" s="56" t="str">
        <f aca="false">IF(O266="","",O266*(1-Settings!$B$4)-K266)</f>
        <v/>
      </c>
      <c r="Q266" s="61" t="str">
        <f aca="false">IF(OR(O266="",O266=0),"",P266/O266)</f>
        <v/>
      </c>
      <c r="R266" s="52"/>
      <c r="S266" s="65" t="str">
        <f aca="false">IF(OR(B266="",R266="Paid",R266="Lost",R266="Shipped"),"",B266+Settings!$B$8)</f>
        <v/>
      </c>
      <c r="T266" s="10" t="str">
        <f aca="true">IF(OR(B266="",R266="Paid",R266="Lost"),"",TODAY()-B266)</f>
        <v/>
      </c>
      <c r="U266" s="53"/>
      <c r="V266" s="66"/>
    </row>
    <row r="267" customFormat="false" ht="15" hidden="false" customHeight="false" outlineLevel="0" collapsed="false">
      <c r="A267" s="10" t="str">
        <f aca="false">IF(B267="","","Q-"&amp;TEXT(ROW()-4,"000"))</f>
        <v/>
      </c>
      <c r="B267" s="53"/>
      <c r="C267" s="52"/>
      <c r="D267" s="52"/>
      <c r="E267" s="52"/>
      <c r="F267" s="52"/>
      <c r="G267" s="53"/>
      <c r="H267" s="52"/>
      <c r="I267" s="55"/>
      <c r="J267" s="55"/>
      <c r="K267" s="56" t="str">
        <f aca="false">IF(OR(F267="",I267=""),"",F267*I267+N(J267))</f>
        <v/>
      </c>
      <c r="L267" s="61" t="str">
        <f aca="false">IF(K267="","",INDEX(Settings!$B$14:$B$18,MATCH(K267,Settings!$A$14:$A$18,1)))</f>
        <v/>
      </c>
      <c r="M267" s="56" t="str">
        <f aca="false">IF(K267="","",CEILING(MAX(K267*(1+L267),K267+Settings!$B$5)/(1-Settings!$B$4),Settings!$B$6))</f>
        <v/>
      </c>
      <c r="N267" s="55"/>
      <c r="O267" s="56" t="str">
        <f aca="false">IF(K267="","",IF(N267="",M267,N267))</f>
        <v/>
      </c>
      <c r="P267" s="56" t="str">
        <f aca="false">IF(O267="","",O267*(1-Settings!$B$4)-K267)</f>
        <v/>
      </c>
      <c r="Q267" s="61" t="str">
        <f aca="false">IF(OR(O267="",O267=0),"",P267/O267)</f>
        <v/>
      </c>
      <c r="R267" s="52"/>
      <c r="S267" s="65" t="str">
        <f aca="false">IF(OR(B267="",R267="Paid",R267="Lost",R267="Shipped"),"",B267+Settings!$B$8)</f>
        <v/>
      </c>
      <c r="T267" s="10" t="str">
        <f aca="true">IF(OR(B267="",R267="Paid",R267="Lost"),"",TODAY()-B267)</f>
        <v/>
      </c>
      <c r="U267" s="53"/>
      <c r="V267" s="66"/>
    </row>
    <row r="268" customFormat="false" ht="15" hidden="false" customHeight="false" outlineLevel="0" collapsed="false">
      <c r="A268" s="10" t="str">
        <f aca="false">IF(B268="","","Q-"&amp;TEXT(ROW()-4,"000"))</f>
        <v/>
      </c>
      <c r="B268" s="53"/>
      <c r="C268" s="52"/>
      <c r="D268" s="52"/>
      <c r="E268" s="52"/>
      <c r="F268" s="52"/>
      <c r="G268" s="53"/>
      <c r="H268" s="52"/>
      <c r="I268" s="55"/>
      <c r="J268" s="55"/>
      <c r="K268" s="56" t="str">
        <f aca="false">IF(OR(F268="",I268=""),"",F268*I268+N(J268))</f>
        <v/>
      </c>
      <c r="L268" s="61" t="str">
        <f aca="false">IF(K268="","",INDEX(Settings!$B$14:$B$18,MATCH(K268,Settings!$A$14:$A$18,1)))</f>
        <v/>
      </c>
      <c r="M268" s="56" t="str">
        <f aca="false">IF(K268="","",CEILING(MAX(K268*(1+L268),K268+Settings!$B$5)/(1-Settings!$B$4),Settings!$B$6))</f>
        <v/>
      </c>
      <c r="N268" s="55"/>
      <c r="O268" s="56" t="str">
        <f aca="false">IF(K268="","",IF(N268="",M268,N268))</f>
        <v/>
      </c>
      <c r="P268" s="56" t="str">
        <f aca="false">IF(O268="","",O268*(1-Settings!$B$4)-K268)</f>
        <v/>
      </c>
      <c r="Q268" s="61" t="str">
        <f aca="false">IF(OR(O268="",O268=0),"",P268/O268)</f>
        <v/>
      </c>
      <c r="R268" s="52"/>
      <c r="S268" s="65" t="str">
        <f aca="false">IF(OR(B268="",R268="Paid",R268="Lost",R268="Shipped"),"",B268+Settings!$B$8)</f>
        <v/>
      </c>
      <c r="T268" s="10" t="str">
        <f aca="true">IF(OR(B268="",R268="Paid",R268="Lost"),"",TODAY()-B268)</f>
        <v/>
      </c>
      <c r="U268" s="53"/>
      <c r="V268" s="66"/>
    </row>
    <row r="269" customFormat="false" ht="15" hidden="false" customHeight="false" outlineLevel="0" collapsed="false">
      <c r="A269" s="10" t="str">
        <f aca="false">IF(B269="","","Q-"&amp;TEXT(ROW()-4,"000"))</f>
        <v/>
      </c>
      <c r="B269" s="53"/>
      <c r="C269" s="52"/>
      <c r="D269" s="52"/>
      <c r="E269" s="52"/>
      <c r="F269" s="52"/>
      <c r="G269" s="53"/>
      <c r="H269" s="52"/>
      <c r="I269" s="55"/>
      <c r="J269" s="55"/>
      <c r="K269" s="56" t="str">
        <f aca="false">IF(OR(F269="",I269=""),"",F269*I269+N(J269))</f>
        <v/>
      </c>
      <c r="L269" s="61" t="str">
        <f aca="false">IF(K269="","",INDEX(Settings!$B$14:$B$18,MATCH(K269,Settings!$A$14:$A$18,1)))</f>
        <v/>
      </c>
      <c r="M269" s="56" t="str">
        <f aca="false">IF(K269="","",CEILING(MAX(K269*(1+L269),K269+Settings!$B$5)/(1-Settings!$B$4),Settings!$B$6))</f>
        <v/>
      </c>
      <c r="N269" s="55"/>
      <c r="O269" s="56" t="str">
        <f aca="false">IF(K269="","",IF(N269="",M269,N269))</f>
        <v/>
      </c>
      <c r="P269" s="56" t="str">
        <f aca="false">IF(O269="","",O269*(1-Settings!$B$4)-K269)</f>
        <v/>
      </c>
      <c r="Q269" s="61" t="str">
        <f aca="false">IF(OR(O269="",O269=0),"",P269/O269)</f>
        <v/>
      </c>
      <c r="R269" s="52"/>
      <c r="S269" s="65" t="str">
        <f aca="false">IF(OR(B269="",R269="Paid",R269="Lost",R269="Shipped"),"",B269+Settings!$B$8)</f>
        <v/>
      </c>
      <c r="T269" s="10" t="str">
        <f aca="true">IF(OR(B269="",R269="Paid",R269="Lost"),"",TODAY()-B269)</f>
        <v/>
      </c>
      <c r="U269" s="53"/>
      <c r="V269" s="66"/>
    </row>
    <row r="270" customFormat="false" ht="15" hidden="false" customHeight="false" outlineLevel="0" collapsed="false">
      <c r="A270" s="10" t="str">
        <f aca="false">IF(B270="","","Q-"&amp;TEXT(ROW()-4,"000"))</f>
        <v/>
      </c>
      <c r="B270" s="53"/>
      <c r="C270" s="52"/>
      <c r="D270" s="52"/>
      <c r="E270" s="52"/>
      <c r="F270" s="52"/>
      <c r="G270" s="53"/>
      <c r="H270" s="52"/>
      <c r="I270" s="55"/>
      <c r="J270" s="55"/>
      <c r="K270" s="56" t="str">
        <f aca="false">IF(OR(F270="",I270=""),"",F270*I270+N(J270))</f>
        <v/>
      </c>
      <c r="L270" s="61" t="str">
        <f aca="false">IF(K270="","",INDEX(Settings!$B$14:$B$18,MATCH(K270,Settings!$A$14:$A$18,1)))</f>
        <v/>
      </c>
      <c r="M270" s="56" t="str">
        <f aca="false">IF(K270="","",CEILING(MAX(K270*(1+L270),K270+Settings!$B$5)/(1-Settings!$B$4),Settings!$B$6))</f>
        <v/>
      </c>
      <c r="N270" s="55"/>
      <c r="O270" s="56" t="str">
        <f aca="false">IF(K270="","",IF(N270="",M270,N270))</f>
        <v/>
      </c>
      <c r="P270" s="56" t="str">
        <f aca="false">IF(O270="","",O270*(1-Settings!$B$4)-K270)</f>
        <v/>
      </c>
      <c r="Q270" s="61" t="str">
        <f aca="false">IF(OR(O270="",O270=0),"",P270/O270)</f>
        <v/>
      </c>
      <c r="R270" s="52"/>
      <c r="S270" s="65" t="str">
        <f aca="false">IF(OR(B270="",R270="Paid",R270="Lost",R270="Shipped"),"",B270+Settings!$B$8)</f>
        <v/>
      </c>
      <c r="T270" s="10" t="str">
        <f aca="true">IF(OR(B270="",R270="Paid",R270="Lost"),"",TODAY()-B270)</f>
        <v/>
      </c>
      <c r="U270" s="53"/>
      <c r="V270" s="66"/>
    </row>
    <row r="271" customFormat="false" ht="15" hidden="false" customHeight="false" outlineLevel="0" collapsed="false">
      <c r="A271" s="10" t="str">
        <f aca="false">IF(B271="","","Q-"&amp;TEXT(ROW()-4,"000"))</f>
        <v/>
      </c>
      <c r="B271" s="53"/>
      <c r="C271" s="52"/>
      <c r="D271" s="52"/>
      <c r="E271" s="52"/>
      <c r="F271" s="52"/>
      <c r="G271" s="53"/>
      <c r="H271" s="52"/>
      <c r="I271" s="55"/>
      <c r="J271" s="55"/>
      <c r="K271" s="56" t="str">
        <f aca="false">IF(OR(F271="",I271=""),"",F271*I271+N(J271))</f>
        <v/>
      </c>
      <c r="L271" s="61" t="str">
        <f aca="false">IF(K271="","",INDEX(Settings!$B$14:$B$18,MATCH(K271,Settings!$A$14:$A$18,1)))</f>
        <v/>
      </c>
      <c r="M271" s="56" t="str">
        <f aca="false">IF(K271="","",CEILING(MAX(K271*(1+L271),K271+Settings!$B$5)/(1-Settings!$B$4),Settings!$B$6))</f>
        <v/>
      </c>
      <c r="N271" s="55"/>
      <c r="O271" s="56" t="str">
        <f aca="false">IF(K271="","",IF(N271="",M271,N271))</f>
        <v/>
      </c>
      <c r="P271" s="56" t="str">
        <f aca="false">IF(O271="","",O271*(1-Settings!$B$4)-K271)</f>
        <v/>
      </c>
      <c r="Q271" s="61" t="str">
        <f aca="false">IF(OR(O271="",O271=0),"",P271/O271)</f>
        <v/>
      </c>
      <c r="R271" s="52"/>
      <c r="S271" s="65" t="str">
        <f aca="false">IF(OR(B271="",R271="Paid",R271="Lost",R271="Shipped"),"",B271+Settings!$B$8)</f>
        <v/>
      </c>
      <c r="T271" s="10" t="str">
        <f aca="true">IF(OR(B271="",R271="Paid",R271="Lost"),"",TODAY()-B271)</f>
        <v/>
      </c>
      <c r="U271" s="53"/>
      <c r="V271" s="66"/>
    </row>
    <row r="272" customFormat="false" ht="15" hidden="false" customHeight="false" outlineLevel="0" collapsed="false">
      <c r="A272" s="10" t="str">
        <f aca="false">IF(B272="","","Q-"&amp;TEXT(ROW()-4,"000"))</f>
        <v/>
      </c>
      <c r="B272" s="53"/>
      <c r="C272" s="52"/>
      <c r="D272" s="52"/>
      <c r="E272" s="52"/>
      <c r="F272" s="52"/>
      <c r="G272" s="53"/>
      <c r="H272" s="52"/>
      <c r="I272" s="55"/>
      <c r="J272" s="55"/>
      <c r="K272" s="56" t="str">
        <f aca="false">IF(OR(F272="",I272=""),"",F272*I272+N(J272))</f>
        <v/>
      </c>
      <c r="L272" s="61" t="str">
        <f aca="false">IF(K272="","",INDEX(Settings!$B$14:$B$18,MATCH(K272,Settings!$A$14:$A$18,1)))</f>
        <v/>
      </c>
      <c r="M272" s="56" t="str">
        <f aca="false">IF(K272="","",CEILING(MAX(K272*(1+L272),K272+Settings!$B$5)/(1-Settings!$B$4),Settings!$B$6))</f>
        <v/>
      </c>
      <c r="N272" s="55"/>
      <c r="O272" s="56" t="str">
        <f aca="false">IF(K272="","",IF(N272="",M272,N272))</f>
        <v/>
      </c>
      <c r="P272" s="56" t="str">
        <f aca="false">IF(O272="","",O272*(1-Settings!$B$4)-K272)</f>
        <v/>
      </c>
      <c r="Q272" s="61" t="str">
        <f aca="false">IF(OR(O272="",O272=0),"",P272/O272)</f>
        <v/>
      </c>
      <c r="R272" s="52"/>
      <c r="S272" s="65" t="str">
        <f aca="false">IF(OR(B272="",R272="Paid",R272="Lost",R272="Shipped"),"",B272+Settings!$B$8)</f>
        <v/>
      </c>
      <c r="T272" s="10" t="str">
        <f aca="true">IF(OR(B272="",R272="Paid",R272="Lost"),"",TODAY()-B272)</f>
        <v/>
      </c>
      <c r="U272" s="53"/>
      <c r="V272" s="66"/>
    </row>
    <row r="273" customFormat="false" ht="15" hidden="false" customHeight="false" outlineLevel="0" collapsed="false">
      <c r="A273" s="10" t="str">
        <f aca="false">IF(B273="","","Q-"&amp;TEXT(ROW()-4,"000"))</f>
        <v/>
      </c>
      <c r="B273" s="53"/>
      <c r="C273" s="52"/>
      <c r="D273" s="52"/>
      <c r="E273" s="52"/>
      <c r="F273" s="52"/>
      <c r="G273" s="53"/>
      <c r="H273" s="52"/>
      <c r="I273" s="55"/>
      <c r="J273" s="55"/>
      <c r="K273" s="56" t="str">
        <f aca="false">IF(OR(F273="",I273=""),"",F273*I273+N(J273))</f>
        <v/>
      </c>
      <c r="L273" s="61" t="str">
        <f aca="false">IF(K273="","",INDEX(Settings!$B$14:$B$18,MATCH(K273,Settings!$A$14:$A$18,1)))</f>
        <v/>
      </c>
      <c r="M273" s="56" t="str">
        <f aca="false">IF(K273="","",CEILING(MAX(K273*(1+L273),K273+Settings!$B$5)/(1-Settings!$B$4),Settings!$B$6))</f>
        <v/>
      </c>
      <c r="N273" s="55"/>
      <c r="O273" s="56" t="str">
        <f aca="false">IF(K273="","",IF(N273="",M273,N273))</f>
        <v/>
      </c>
      <c r="P273" s="56" t="str">
        <f aca="false">IF(O273="","",O273*(1-Settings!$B$4)-K273)</f>
        <v/>
      </c>
      <c r="Q273" s="61" t="str">
        <f aca="false">IF(OR(O273="",O273=0),"",P273/O273)</f>
        <v/>
      </c>
      <c r="R273" s="52"/>
      <c r="S273" s="65" t="str">
        <f aca="false">IF(OR(B273="",R273="Paid",R273="Lost",R273="Shipped"),"",B273+Settings!$B$8)</f>
        <v/>
      </c>
      <c r="T273" s="10" t="str">
        <f aca="true">IF(OR(B273="",R273="Paid",R273="Lost"),"",TODAY()-B273)</f>
        <v/>
      </c>
      <c r="U273" s="53"/>
      <c r="V273" s="66"/>
    </row>
    <row r="274" customFormat="false" ht="15" hidden="false" customHeight="false" outlineLevel="0" collapsed="false">
      <c r="A274" s="10" t="str">
        <f aca="false">IF(B274="","","Q-"&amp;TEXT(ROW()-4,"000"))</f>
        <v/>
      </c>
      <c r="B274" s="53"/>
      <c r="C274" s="52"/>
      <c r="D274" s="52"/>
      <c r="E274" s="52"/>
      <c r="F274" s="52"/>
      <c r="G274" s="53"/>
      <c r="H274" s="52"/>
      <c r="I274" s="55"/>
      <c r="J274" s="55"/>
      <c r="K274" s="56" t="str">
        <f aca="false">IF(OR(F274="",I274=""),"",F274*I274+N(J274))</f>
        <v/>
      </c>
      <c r="L274" s="61" t="str">
        <f aca="false">IF(K274="","",INDEX(Settings!$B$14:$B$18,MATCH(K274,Settings!$A$14:$A$18,1)))</f>
        <v/>
      </c>
      <c r="M274" s="56" t="str">
        <f aca="false">IF(K274="","",CEILING(MAX(K274*(1+L274),K274+Settings!$B$5)/(1-Settings!$B$4),Settings!$B$6))</f>
        <v/>
      </c>
      <c r="N274" s="55"/>
      <c r="O274" s="56" t="str">
        <f aca="false">IF(K274="","",IF(N274="",M274,N274))</f>
        <v/>
      </c>
      <c r="P274" s="56" t="str">
        <f aca="false">IF(O274="","",O274*(1-Settings!$B$4)-K274)</f>
        <v/>
      </c>
      <c r="Q274" s="61" t="str">
        <f aca="false">IF(OR(O274="",O274=0),"",P274/O274)</f>
        <v/>
      </c>
      <c r="R274" s="52"/>
      <c r="S274" s="65" t="str">
        <f aca="false">IF(OR(B274="",R274="Paid",R274="Lost",R274="Shipped"),"",B274+Settings!$B$8)</f>
        <v/>
      </c>
      <c r="T274" s="10" t="str">
        <f aca="true">IF(OR(B274="",R274="Paid",R274="Lost"),"",TODAY()-B274)</f>
        <v/>
      </c>
      <c r="U274" s="53"/>
      <c r="V274" s="66"/>
    </row>
    <row r="275" customFormat="false" ht="15" hidden="false" customHeight="false" outlineLevel="0" collapsed="false">
      <c r="A275" s="10" t="str">
        <f aca="false">IF(B275="","","Q-"&amp;TEXT(ROW()-4,"000"))</f>
        <v/>
      </c>
      <c r="B275" s="53"/>
      <c r="C275" s="52"/>
      <c r="D275" s="52"/>
      <c r="E275" s="52"/>
      <c r="F275" s="52"/>
      <c r="G275" s="53"/>
      <c r="H275" s="52"/>
      <c r="I275" s="55"/>
      <c r="J275" s="55"/>
      <c r="K275" s="56" t="str">
        <f aca="false">IF(OR(F275="",I275=""),"",F275*I275+N(J275))</f>
        <v/>
      </c>
      <c r="L275" s="61" t="str">
        <f aca="false">IF(K275="","",INDEX(Settings!$B$14:$B$18,MATCH(K275,Settings!$A$14:$A$18,1)))</f>
        <v/>
      </c>
      <c r="M275" s="56" t="str">
        <f aca="false">IF(K275="","",CEILING(MAX(K275*(1+L275),K275+Settings!$B$5)/(1-Settings!$B$4),Settings!$B$6))</f>
        <v/>
      </c>
      <c r="N275" s="55"/>
      <c r="O275" s="56" t="str">
        <f aca="false">IF(K275="","",IF(N275="",M275,N275))</f>
        <v/>
      </c>
      <c r="P275" s="56" t="str">
        <f aca="false">IF(O275="","",O275*(1-Settings!$B$4)-K275)</f>
        <v/>
      </c>
      <c r="Q275" s="61" t="str">
        <f aca="false">IF(OR(O275="",O275=0),"",P275/O275)</f>
        <v/>
      </c>
      <c r="R275" s="52"/>
      <c r="S275" s="65" t="str">
        <f aca="false">IF(OR(B275="",R275="Paid",R275="Lost",R275="Shipped"),"",B275+Settings!$B$8)</f>
        <v/>
      </c>
      <c r="T275" s="10" t="str">
        <f aca="true">IF(OR(B275="",R275="Paid",R275="Lost"),"",TODAY()-B275)</f>
        <v/>
      </c>
      <c r="U275" s="53"/>
      <c r="V275" s="66"/>
    </row>
    <row r="276" customFormat="false" ht="15" hidden="false" customHeight="false" outlineLevel="0" collapsed="false">
      <c r="A276" s="10" t="str">
        <f aca="false">IF(B276="","","Q-"&amp;TEXT(ROW()-4,"000"))</f>
        <v/>
      </c>
      <c r="B276" s="53"/>
      <c r="C276" s="52"/>
      <c r="D276" s="52"/>
      <c r="E276" s="52"/>
      <c r="F276" s="52"/>
      <c r="G276" s="53"/>
      <c r="H276" s="52"/>
      <c r="I276" s="55"/>
      <c r="J276" s="55"/>
      <c r="K276" s="56" t="str">
        <f aca="false">IF(OR(F276="",I276=""),"",F276*I276+N(J276))</f>
        <v/>
      </c>
      <c r="L276" s="61" t="str">
        <f aca="false">IF(K276="","",INDEX(Settings!$B$14:$B$18,MATCH(K276,Settings!$A$14:$A$18,1)))</f>
        <v/>
      </c>
      <c r="M276" s="56" t="str">
        <f aca="false">IF(K276="","",CEILING(MAX(K276*(1+L276),K276+Settings!$B$5)/(1-Settings!$B$4),Settings!$B$6))</f>
        <v/>
      </c>
      <c r="N276" s="55"/>
      <c r="O276" s="56" t="str">
        <f aca="false">IF(K276="","",IF(N276="",M276,N276))</f>
        <v/>
      </c>
      <c r="P276" s="56" t="str">
        <f aca="false">IF(O276="","",O276*(1-Settings!$B$4)-K276)</f>
        <v/>
      </c>
      <c r="Q276" s="61" t="str">
        <f aca="false">IF(OR(O276="",O276=0),"",P276/O276)</f>
        <v/>
      </c>
      <c r="R276" s="52"/>
      <c r="S276" s="65" t="str">
        <f aca="false">IF(OR(B276="",R276="Paid",R276="Lost",R276="Shipped"),"",B276+Settings!$B$8)</f>
        <v/>
      </c>
      <c r="T276" s="10" t="str">
        <f aca="true">IF(OR(B276="",R276="Paid",R276="Lost"),"",TODAY()-B276)</f>
        <v/>
      </c>
      <c r="U276" s="53"/>
      <c r="V276" s="66"/>
    </row>
    <row r="277" customFormat="false" ht="15" hidden="false" customHeight="false" outlineLevel="0" collapsed="false">
      <c r="A277" s="10" t="str">
        <f aca="false">IF(B277="","","Q-"&amp;TEXT(ROW()-4,"000"))</f>
        <v/>
      </c>
      <c r="B277" s="53"/>
      <c r="C277" s="52"/>
      <c r="D277" s="52"/>
      <c r="E277" s="52"/>
      <c r="F277" s="52"/>
      <c r="G277" s="53"/>
      <c r="H277" s="52"/>
      <c r="I277" s="55"/>
      <c r="J277" s="55"/>
      <c r="K277" s="56" t="str">
        <f aca="false">IF(OR(F277="",I277=""),"",F277*I277+N(J277))</f>
        <v/>
      </c>
      <c r="L277" s="61" t="str">
        <f aca="false">IF(K277="","",INDEX(Settings!$B$14:$B$18,MATCH(K277,Settings!$A$14:$A$18,1)))</f>
        <v/>
      </c>
      <c r="M277" s="56" t="str">
        <f aca="false">IF(K277="","",CEILING(MAX(K277*(1+L277),K277+Settings!$B$5)/(1-Settings!$B$4),Settings!$B$6))</f>
        <v/>
      </c>
      <c r="N277" s="55"/>
      <c r="O277" s="56" t="str">
        <f aca="false">IF(K277="","",IF(N277="",M277,N277))</f>
        <v/>
      </c>
      <c r="P277" s="56" t="str">
        <f aca="false">IF(O277="","",O277*(1-Settings!$B$4)-K277)</f>
        <v/>
      </c>
      <c r="Q277" s="61" t="str">
        <f aca="false">IF(OR(O277="",O277=0),"",P277/O277)</f>
        <v/>
      </c>
      <c r="R277" s="52"/>
      <c r="S277" s="65" t="str">
        <f aca="false">IF(OR(B277="",R277="Paid",R277="Lost",R277="Shipped"),"",B277+Settings!$B$8)</f>
        <v/>
      </c>
      <c r="T277" s="10" t="str">
        <f aca="true">IF(OR(B277="",R277="Paid",R277="Lost"),"",TODAY()-B277)</f>
        <v/>
      </c>
      <c r="U277" s="53"/>
      <c r="V277" s="66"/>
    </row>
    <row r="278" customFormat="false" ht="15" hidden="false" customHeight="false" outlineLevel="0" collapsed="false">
      <c r="A278" s="10" t="str">
        <f aca="false">IF(B278="","","Q-"&amp;TEXT(ROW()-4,"000"))</f>
        <v/>
      </c>
      <c r="B278" s="53"/>
      <c r="C278" s="52"/>
      <c r="D278" s="52"/>
      <c r="E278" s="52"/>
      <c r="F278" s="52"/>
      <c r="G278" s="53"/>
      <c r="H278" s="52"/>
      <c r="I278" s="55"/>
      <c r="J278" s="55"/>
      <c r="K278" s="56" t="str">
        <f aca="false">IF(OR(F278="",I278=""),"",F278*I278+N(J278))</f>
        <v/>
      </c>
      <c r="L278" s="61" t="str">
        <f aca="false">IF(K278="","",INDEX(Settings!$B$14:$B$18,MATCH(K278,Settings!$A$14:$A$18,1)))</f>
        <v/>
      </c>
      <c r="M278" s="56" t="str">
        <f aca="false">IF(K278="","",CEILING(MAX(K278*(1+L278),K278+Settings!$B$5)/(1-Settings!$B$4),Settings!$B$6))</f>
        <v/>
      </c>
      <c r="N278" s="55"/>
      <c r="O278" s="56" t="str">
        <f aca="false">IF(K278="","",IF(N278="",M278,N278))</f>
        <v/>
      </c>
      <c r="P278" s="56" t="str">
        <f aca="false">IF(O278="","",O278*(1-Settings!$B$4)-K278)</f>
        <v/>
      </c>
      <c r="Q278" s="61" t="str">
        <f aca="false">IF(OR(O278="",O278=0),"",P278/O278)</f>
        <v/>
      </c>
      <c r="R278" s="52"/>
      <c r="S278" s="65" t="str">
        <f aca="false">IF(OR(B278="",R278="Paid",R278="Lost",R278="Shipped"),"",B278+Settings!$B$8)</f>
        <v/>
      </c>
      <c r="T278" s="10" t="str">
        <f aca="true">IF(OR(B278="",R278="Paid",R278="Lost"),"",TODAY()-B278)</f>
        <v/>
      </c>
      <c r="U278" s="53"/>
      <c r="V278" s="66"/>
    </row>
    <row r="279" customFormat="false" ht="15" hidden="false" customHeight="false" outlineLevel="0" collapsed="false">
      <c r="A279" s="10" t="str">
        <f aca="false">IF(B279="","","Q-"&amp;TEXT(ROW()-4,"000"))</f>
        <v/>
      </c>
      <c r="B279" s="53"/>
      <c r="C279" s="52"/>
      <c r="D279" s="52"/>
      <c r="E279" s="52"/>
      <c r="F279" s="52"/>
      <c r="G279" s="53"/>
      <c r="H279" s="52"/>
      <c r="I279" s="55"/>
      <c r="J279" s="55"/>
      <c r="K279" s="56" t="str">
        <f aca="false">IF(OR(F279="",I279=""),"",F279*I279+N(J279))</f>
        <v/>
      </c>
      <c r="L279" s="61" t="str">
        <f aca="false">IF(K279="","",INDEX(Settings!$B$14:$B$18,MATCH(K279,Settings!$A$14:$A$18,1)))</f>
        <v/>
      </c>
      <c r="M279" s="56" t="str">
        <f aca="false">IF(K279="","",CEILING(MAX(K279*(1+L279),K279+Settings!$B$5)/(1-Settings!$B$4),Settings!$B$6))</f>
        <v/>
      </c>
      <c r="N279" s="55"/>
      <c r="O279" s="56" t="str">
        <f aca="false">IF(K279="","",IF(N279="",M279,N279))</f>
        <v/>
      </c>
      <c r="P279" s="56" t="str">
        <f aca="false">IF(O279="","",O279*(1-Settings!$B$4)-K279)</f>
        <v/>
      </c>
      <c r="Q279" s="61" t="str">
        <f aca="false">IF(OR(O279="",O279=0),"",P279/O279)</f>
        <v/>
      </c>
      <c r="R279" s="52"/>
      <c r="S279" s="65" t="str">
        <f aca="false">IF(OR(B279="",R279="Paid",R279="Lost",R279="Shipped"),"",B279+Settings!$B$8)</f>
        <v/>
      </c>
      <c r="T279" s="10" t="str">
        <f aca="true">IF(OR(B279="",R279="Paid",R279="Lost"),"",TODAY()-B279)</f>
        <v/>
      </c>
      <c r="U279" s="53"/>
      <c r="V279" s="66"/>
    </row>
    <row r="280" customFormat="false" ht="15" hidden="false" customHeight="false" outlineLevel="0" collapsed="false">
      <c r="A280" s="10" t="str">
        <f aca="false">IF(B280="","","Q-"&amp;TEXT(ROW()-4,"000"))</f>
        <v/>
      </c>
      <c r="B280" s="53"/>
      <c r="C280" s="52"/>
      <c r="D280" s="52"/>
      <c r="E280" s="52"/>
      <c r="F280" s="52"/>
      <c r="G280" s="53"/>
      <c r="H280" s="52"/>
      <c r="I280" s="55"/>
      <c r="J280" s="55"/>
      <c r="K280" s="56" t="str">
        <f aca="false">IF(OR(F280="",I280=""),"",F280*I280+N(J280))</f>
        <v/>
      </c>
      <c r="L280" s="61" t="str">
        <f aca="false">IF(K280="","",INDEX(Settings!$B$14:$B$18,MATCH(K280,Settings!$A$14:$A$18,1)))</f>
        <v/>
      </c>
      <c r="M280" s="56" t="str">
        <f aca="false">IF(K280="","",CEILING(MAX(K280*(1+L280),K280+Settings!$B$5)/(1-Settings!$B$4),Settings!$B$6))</f>
        <v/>
      </c>
      <c r="N280" s="55"/>
      <c r="O280" s="56" t="str">
        <f aca="false">IF(K280="","",IF(N280="",M280,N280))</f>
        <v/>
      </c>
      <c r="P280" s="56" t="str">
        <f aca="false">IF(O280="","",O280*(1-Settings!$B$4)-K280)</f>
        <v/>
      </c>
      <c r="Q280" s="61" t="str">
        <f aca="false">IF(OR(O280="",O280=0),"",P280/O280)</f>
        <v/>
      </c>
      <c r="R280" s="52"/>
      <c r="S280" s="65" t="str">
        <f aca="false">IF(OR(B280="",R280="Paid",R280="Lost",R280="Shipped"),"",B280+Settings!$B$8)</f>
        <v/>
      </c>
      <c r="T280" s="10" t="str">
        <f aca="true">IF(OR(B280="",R280="Paid",R280="Lost"),"",TODAY()-B280)</f>
        <v/>
      </c>
      <c r="U280" s="53"/>
      <c r="V280" s="66"/>
    </row>
    <row r="281" customFormat="false" ht="15" hidden="false" customHeight="false" outlineLevel="0" collapsed="false">
      <c r="A281" s="10" t="str">
        <f aca="false">IF(B281="","","Q-"&amp;TEXT(ROW()-4,"000"))</f>
        <v/>
      </c>
      <c r="B281" s="53"/>
      <c r="C281" s="52"/>
      <c r="D281" s="52"/>
      <c r="E281" s="52"/>
      <c r="F281" s="52"/>
      <c r="G281" s="53"/>
      <c r="H281" s="52"/>
      <c r="I281" s="55"/>
      <c r="J281" s="55"/>
      <c r="K281" s="56" t="str">
        <f aca="false">IF(OR(F281="",I281=""),"",F281*I281+N(J281))</f>
        <v/>
      </c>
      <c r="L281" s="61" t="str">
        <f aca="false">IF(K281="","",INDEX(Settings!$B$14:$B$18,MATCH(K281,Settings!$A$14:$A$18,1)))</f>
        <v/>
      </c>
      <c r="M281" s="56" t="str">
        <f aca="false">IF(K281="","",CEILING(MAX(K281*(1+L281),K281+Settings!$B$5)/(1-Settings!$B$4),Settings!$B$6))</f>
        <v/>
      </c>
      <c r="N281" s="55"/>
      <c r="O281" s="56" t="str">
        <f aca="false">IF(K281="","",IF(N281="",M281,N281))</f>
        <v/>
      </c>
      <c r="P281" s="56" t="str">
        <f aca="false">IF(O281="","",O281*(1-Settings!$B$4)-K281)</f>
        <v/>
      </c>
      <c r="Q281" s="61" t="str">
        <f aca="false">IF(OR(O281="",O281=0),"",P281/O281)</f>
        <v/>
      </c>
      <c r="R281" s="52"/>
      <c r="S281" s="65" t="str">
        <f aca="false">IF(OR(B281="",R281="Paid",R281="Lost",R281="Shipped"),"",B281+Settings!$B$8)</f>
        <v/>
      </c>
      <c r="T281" s="10" t="str">
        <f aca="true">IF(OR(B281="",R281="Paid",R281="Lost"),"",TODAY()-B281)</f>
        <v/>
      </c>
      <c r="U281" s="53"/>
      <c r="V281" s="66"/>
    </row>
    <row r="282" customFormat="false" ht="15" hidden="false" customHeight="false" outlineLevel="0" collapsed="false">
      <c r="A282" s="10" t="str">
        <f aca="false">IF(B282="","","Q-"&amp;TEXT(ROW()-4,"000"))</f>
        <v/>
      </c>
      <c r="B282" s="53"/>
      <c r="C282" s="52"/>
      <c r="D282" s="52"/>
      <c r="E282" s="52"/>
      <c r="F282" s="52"/>
      <c r="G282" s="53"/>
      <c r="H282" s="52"/>
      <c r="I282" s="55"/>
      <c r="J282" s="55"/>
      <c r="K282" s="56" t="str">
        <f aca="false">IF(OR(F282="",I282=""),"",F282*I282+N(J282))</f>
        <v/>
      </c>
      <c r="L282" s="61" t="str">
        <f aca="false">IF(K282="","",INDEX(Settings!$B$14:$B$18,MATCH(K282,Settings!$A$14:$A$18,1)))</f>
        <v/>
      </c>
      <c r="M282" s="56" t="str">
        <f aca="false">IF(K282="","",CEILING(MAX(K282*(1+L282),K282+Settings!$B$5)/(1-Settings!$B$4),Settings!$B$6))</f>
        <v/>
      </c>
      <c r="N282" s="55"/>
      <c r="O282" s="56" t="str">
        <f aca="false">IF(K282="","",IF(N282="",M282,N282))</f>
        <v/>
      </c>
      <c r="P282" s="56" t="str">
        <f aca="false">IF(O282="","",O282*(1-Settings!$B$4)-K282)</f>
        <v/>
      </c>
      <c r="Q282" s="61" t="str">
        <f aca="false">IF(OR(O282="",O282=0),"",P282/O282)</f>
        <v/>
      </c>
      <c r="R282" s="52"/>
      <c r="S282" s="65" t="str">
        <f aca="false">IF(OR(B282="",R282="Paid",R282="Lost",R282="Shipped"),"",B282+Settings!$B$8)</f>
        <v/>
      </c>
      <c r="T282" s="10" t="str">
        <f aca="true">IF(OR(B282="",R282="Paid",R282="Lost"),"",TODAY()-B282)</f>
        <v/>
      </c>
      <c r="U282" s="53"/>
      <c r="V282" s="66"/>
    </row>
    <row r="283" customFormat="false" ht="15" hidden="false" customHeight="false" outlineLevel="0" collapsed="false">
      <c r="A283" s="10" t="str">
        <f aca="false">IF(B283="","","Q-"&amp;TEXT(ROW()-4,"000"))</f>
        <v/>
      </c>
      <c r="B283" s="53"/>
      <c r="C283" s="52"/>
      <c r="D283" s="52"/>
      <c r="E283" s="52"/>
      <c r="F283" s="52"/>
      <c r="G283" s="53"/>
      <c r="H283" s="52"/>
      <c r="I283" s="55"/>
      <c r="J283" s="55"/>
      <c r="K283" s="56" t="str">
        <f aca="false">IF(OR(F283="",I283=""),"",F283*I283+N(J283))</f>
        <v/>
      </c>
      <c r="L283" s="61" t="str">
        <f aca="false">IF(K283="","",INDEX(Settings!$B$14:$B$18,MATCH(K283,Settings!$A$14:$A$18,1)))</f>
        <v/>
      </c>
      <c r="M283" s="56" t="str">
        <f aca="false">IF(K283="","",CEILING(MAX(K283*(1+L283),K283+Settings!$B$5)/(1-Settings!$B$4),Settings!$B$6))</f>
        <v/>
      </c>
      <c r="N283" s="55"/>
      <c r="O283" s="56" t="str">
        <f aca="false">IF(K283="","",IF(N283="",M283,N283))</f>
        <v/>
      </c>
      <c r="P283" s="56" t="str">
        <f aca="false">IF(O283="","",O283*(1-Settings!$B$4)-K283)</f>
        <v/>
      </c>
      <c r="Q283" s="61" t="str">
        <f aca="false">IF(OR(O283="",O283=0),"",P283/O283)</f>
        <v/>
      </c>
      <c r="R283" s="52"/>
      <c r="S283" s="65" t="str">
        <f aca="false">IF(OR(B283="",R283="Paid",R283="Lost",R283="Shipped"),"",B283+Settings!$B$8)</f>
        <v/>
      </c>
      <c r="T283" s="10" t="str">
        <f aca="true">IF(OR(B283="",R283="Paid",R283="Lost"),"",TODAY()-B283)</f>
        <v/>
      </c>
      <c r="U283" s="53"/>
      <c r="V283" s="66"/>
    </row>
    <row r="284" customFormat="false" ht="15" hidden="false" customHeight="false" outlineLevel="0" collapsed="false">
      <c r="A284" s="10" t="str">
        <f aca="false">IF(B284="","","Q-"&amp;TEXT(ROW()-4,"000"))</f>
        <v/>
      </c>
      <c r="B284" s="53"/>
      <c r="C284" s="52"/>
      <c r="D284" s="52"/>
      <c r="E284" s="52"/>
      <c r="F284" s="52"/>
      <c r="G284" s="53"/>
      <c r="H284" s="52"/>
      <c r="I284" s="55"/>
      <c r="J284" s="55"/>
      <c r="K284" s="56" t="str">
        <f aca="false">IF(OR(F284="",I284=""),"",F284*I284+N(J284))</f>
        <v/>
      </c>
      <c r="L284" s="61" t="str">
        <f aca="false">IF(K284="","",INDEX(Settings!$B$14:$B$18,MATCH(K284,Settings!$A$14:$A$18,1)))</f>
        <v/>
      </c>
      <c r="M284" s="56" t="str">
        <f aca="false">IF(K284="","",CEILING(MAX(K284*(1+L284),K284+Settings!$B$5)/(1-Settings!$B$4),Settings!$B$6))</f>
        <v/>
      </c>
      <c r="N284" s="55"/>
      <c r="O284" s="56" t="str">
        <f aca="false">IF(K284="","",IF(N284="",M284,N284))</f>
        <v/>
      </c>
      <c r="P284" s="56" t="str">
        <f aca="false">IF(O284="","",O284*(1-Settings!$B$4)-K284)</f>
        <v/>
      </c>
      <c r="Q284" s="61" t="str">
        <f aca="false">IF(OR(O284="",O284=0),"",P284/O284)</f>
        <v/>
      </c>
      <c r="R284" s="52"/>
      <c r="S284" s="65" t="str">
        <f aca="false">IF(OR(B284="",R284="Paid",R284="Lost",R284="Shipped"),"",B284+Settings!$B$8)</f>
        <v/>
      </c>
      <c r="T284" s="10" t="str">
        <f aca="true">IF(OR(B284="",R284="Paid",R284="Lost"),"",TODAY()-B284)</f>
        <v/>
      </c>
      <c r="U284" s="53"/>
      <c r="V284" s="66"/>
    </row>
    <row r="285" customFormat="false" ht="15" hidden="false" customHeight="false" outlineLevel="0" collapsed="false">
      <c r="A285" s="10" t="str">
        <f aca="false">IF(B285="","","Q-"&amp;TEXT(ROW()-4,"000"))</f>
        <v/>
      </c>
      <c r="B285" s="53"/>
      <c r="C285" s="52"/>
      <c r="D285" s="52"/>
      <c r="E285" s="52"/>
      <c r="F285" s="52"/>
      <c r="G285" s="53"/>
      <c r="H285" s="52"/>
      <c r="I285" s="55"/>
      <c r="J285" s="55"/>
      <c r="K285" s="56" t="str">
        <f aca="false">IF(OR(F285="",I285=""),"",F285*I285+N(J285))</f>
        <v/>
      </c>
      <c r="L285" s="61" t="str">
        <f aca="false">IF(K285="","",INDEX(Settings!$B$14:$B$18,MATCH(K285,Settings!$A$14:$A$18,1)))</f>
        <v/>
      </c>
      <c r="M285" s="56" t="str">
        <f aca="false">IF(K285="","",CEILING(MAX(K285*(1+L285),K285+Settings!$B$5)/(1-Settings!$B$4),Settings!$B$6))</f>
        <v/>
      </c>
      <c r="N285" s="55"/>
      <c r="O285" s="56" t="str">
        <f aca="false">IF(K285="","",IF(N285="",M285,N285))</f>
        <v/>
      </c>
      <c r="P285" s="56" t="str">
        <f aca="false">IF(O285="","",O285*(1-Settings!$B$4)-K285)</f>
        <v/>
      </c>
      <c r="Q285" s="61" t="str">
        <f aca="false">IF(OR(O285="",O285=0),"",P285/O285)</f>
        <v/>
      </c>
      <c r="R285" s="52"/>
      <c r="S285" s="65" t="str">
        <f aca="false">IF(OR(B285="",R285="Paid",R285="Lost",R285="Shipped"),"",B285+Settings!$B$8)</f>
        <v/>
      </c>
      <c r="T285" s="10" t="str">
        <f aca="true">IF(OR(B285="",R285="Paid",R285="Lost"),"",TODAY()-B285)</f>
        <v/>
      </c>
      <c r="U285" s="53"/>
      <c r="V285" s="66"/>
    </row>
    <row r="286" customFormat="false" ht="15" hidden="false" customHeight="false" outlineLevel="0" collapsed="false">
      <c r="A286" s="10" t="str">
        <f aca="false">IF(B286="","","Q-"&amp;TEXT(ROW()-4,"000"))</f>
        <v/>
      </c>
      <c r="B286" s="53"/>
      <c r="C286" s="52"/>
      <c r="D286" s="52"/>
      <c r="E286" s="52"/>
      <c r="F286" s="52"/>
      <c r="G286" s="53"/>
      <c r="H286" s="52"/>
      <c r="I286" s="55"/>
      <c r="J286" s="55"/>
      <c r="K286" s="56" t="str">
        <f aca="false">IF(OR(F286="",I286=""),"",F286*I286+N(J286))</f>
        <v/>
      </c>
      <c r="L286" s="61" t="str">
        <f aca="false">IF(K286="","",INDEX(Settings!$B$14:$B$18,MATCH(K286,Settings!$A$14:$A$18,1)))</f>
        <v/>
      </c>
      <c r="M286" s="56" t="str">
        <f aca="false">IF(K286="","",CEILING(MAX(K286*(1+L286),K286+Settings!$B$5)/(1-Settings!$B$4),Settings!$B$6))</f>
        <v/>
      </c>
      <c r="N286" s="55"/>
      <c r="O286" s="56" t="str">
        <f aca="false">IF(K286="","",IF(N286="",M286,N286))</f>
        <v/>
      </c>
      <c r="P286" s="56" t="str">
        <f aca="false">IF(O286="","",O286*(1-Settings!$B$4)-K286)</f>
        <v/>
      </c>
      <c r="Q286" s="61" t="str">
        <f aca="false">IF(OR(O286="",O286=0),"",P286/O286)</f>
        <v/>
      </c>
      <c r="R286" s="52"/>
      <c r="S286" s="65" t="str">
        <f aca="false">IF(OR(B286="",R286="Paid",R286="Lost",R286="Shipped"),"",B286+Settings!$B$8)</f>
        <v/>
      </c>
      <c r="T286" s="10" t="str">
        <f aca="true">IF(OR(B286="",R286="Paid",R286="Lost"),"",TODAY()-B286)</f>
        <v/>
      </c>
      <c r="U286" s="53"/>
      <c r="V286" s="66"/>
    </row>
    <row r="287" customFormat="false" ht="15" hidden="false" customHeight="false" outlineLevel="0" collapsed="false">
      <c r="A287" s="10" t="str">
        <f aca="false">IF(B287="","","Q-"&amp;TEXT(ROW()-4,"000"))</f>
        <v/>
      </c>
      <c r="B287" s="53"/>
      <c r="C287" s="52"/>
      <c r="D287" s="52"/>
      <c r="E287" s="52"/>
      <c r="F287" s="52"/>
      <c r="G287" s="53"/>
      <c r="H287" s="52"/>
      <c r="I287" s="55"/>
      <c r="J287" s="55"/>
      <c r="K287" s="56" t="str">
        <f aca="false">IF(OR(F287="",I287=""),"",F287*I287+N(J287))</f>
        <v/>
      </c>
      <c r="L287" s="61" t="str">
        <f aca="false">IF(K287="","",INDEX(Settings!$B$14:$B$18,MATCH(K287,Settings!$A$14:$A$18,1)))</f>
        <v/>
      </c>
      <c r="M287" s="56" t="str">
        <f aca="false">IF(K287="","",CEILING(MAX(K287*(1+L287),K287+Settings!$B$5)/(1-Settings!$B$4),Settings!$B$6))</f>
        <v/>
      </c>
      <c r="N287" s="55"/>
      <c r="O287" s="56" t="str">
        <f aca="false">IF(K287="","",IF(N287="",M287,N287))</f>
        <v/>
      </c>
      <c r="P287" s="56" t="str">
        <f aca="false">IF(O287="","",O287*(1-Settings!$B$4)-K287)</f>
        <v/>
      </c>
      <c r="Q287" s="61" t="str">
        <f aca="false">IF(OR(O287="",O287=0),"",P287/O287)</f>
        <v/>
      </c>
      <c r="R287" s="52"/>
      <c r="S287" s="65" t="str">
        <f aca="false">IF(OR(B287="",R287="Paid",R287="Lost",R287="Shipped"),"",B287+Settings!$B$8)</f>
        <v/>
      </c>
      <c r="T287" s="10" t="str">
        <f aca="true">IF(OR(B287="",R287="Paid",R287="Lost"),"",TODAY()-B287)</f>
        <v/>
      </c>
      <c r="U287" s="53"/>
      <c r="V287" s="66"/>
    </row>
    <row r="288" customFormat="false" ht="15" hidden="false" customHeight="false" outlineLevel="0" collapsed="false">
      <c r="A288" s="10" t="str">
        <f aca="false">IF(B288="","","Q-"&amp;TEXT(ROW()-4,"000"))</f>
        <v/>
      </c>
      <c r="B288" s="53"/>
      <c r="C288" s="52"/>
      <c r="D288" s="52"/>
      <c r="E288" s="52"/>
      <c r="F288" s="52"/>
      <c r="G288" s="53"/>
      <c r="H288" s="52"/>
      <c r="I288" s="55"/>
      <c r="J288" s="55"/>
      <c r="K288" s="56" t="str">
        <f aca="false">IF(OR(F288="",I288=""),"",F288*I288+N(J288))</f>
        <v/>
      </c>
      <c r="L288" s="61" t="str">
        <f aca="false">IF(K288="","",INDEX(Settings!$B$14:$B$18,MATCH(K288,Settings!$A$14:$A$18,1)))</f>
        <v/>
      </c>
      <c r="M288" s="56" t="str">
        <f aca="false">IF(K288="","",CEILING(MAX(K288*(1+L288),K288+Settings!$B$5)/(1-Settings!$B$4),Settings!$B$6))</f>
        <v/>
      </c>
      <c r="N288" s="55"/>
      <c r="O288" s="56" t="str">
        <f aca="false">IF(K288="","",IF(N288="",M288,N288))</f>
        <v/>
      </c>
      <c r="P288" s="56" t="str">
        <f aca="false">IF(O288="","",O288*(1-Settings!$B$4)-K288)</f>
        <v/>
      </c>
      <c r="Q288" s="61" t="str">
        <f aca="false">IF(OR(O288="",O288=0),"",P288/O288)</f>
        <v/>
      </c>
      <c r="R288" s="52"/>
      <c r="S288" s="65" t="str">
        <f aca="false">IF(OR(B288="",R288="Paid",R288="Lost",R288="Shipped"),"",B288+Settings!$B$8)</f>
        <v/>
      </c>
      <c r="T288" s="10" t="str">
        <f aca="true">IF(OR(B288="",R288="Paid",R288="Lost"),"",TODAY()-B288)</f>
        <v/>
      </c>
      <c r="U288" s="53"/>
      <c r="V288" s="66"/>
    </row>
    <row r="289" customFormat="false" ht="15" hidden="false" customHeight="false" outlineLevel="0" collapsed="false">
      <c r="A289" s="10" t="str">
        <f aca="false">IF(B289="","","Q-"&amp;TEXT(ROW()-4,"000"))</f>
        <v/>
      </c>
      <c r="B289" s="53"/>
      <c r="C289" s="52"/>
      <c r="D289" s="52"/>
      <c r="E289" s="52"/>
      <c r="F289" s="52"/>
      <c r="G289" s="53"/>
      <c r="H289" s="52"/>
      <c r="I289" s="55"/>
      <c r="J289" s="55"/>
      <c r="K289" s="56" t="str">
        <f aca="false">IF(OR(F289="",I289=""),"",F289*I289+N(J289))</f>
        <v/>
      </c>
      <c r="L289" s="61" t="str">
        <f aca="false">IF(K289="","",INDEX(Settings!$B$14:$B$18,MATCH(K289,Settings!$A$14:$A$18,1)))</f>
        <v/>
      </c>
      <c r="M289" s="56" t="str">
        <f aca="false">IF(K289="","",CEILING(MAX(K289*(1+L289),K289+Settings!$B$5)/(1-Settings!$B$4),Settings!$B$6))</f>
        <v/>
      </c>
      <c r="N289" s="55"/>
      <c r="O289" s="56" t="str">
        <f aca="false">IF(K289="","",IF(N289="",M289,N289))</f>
        <v/>
      </c>
      <c r="P289" s="56" t="str">
        <f aca="false">IF(O289="","",O289*(1-Settings!$B$4)-K289)</f>
        <v/>
      </c>
      <c r="Q289" s="61" t="str">
        <f aca="false">IF(OR(O289="",O289=0),"",P289/O289)</f>
        <v/>
      </c>
      <c r="R289" s="52"/>
      <c r="S289" s="65" t="str">
        <f aca="false">IF(OR(B289="",R289="Paid",R289="Lost",R289="Shipped"),"",B289+Settings!$B$8)</f>
        <v/>
      </c>
      <c r="T289" s="10" t="str">
        <f aca="true">IF(OR(B289="",R289="Paid",R289="Lost"),"",TODAY()-B289)</f>
        <v/>
      </c>
      <c r="U289" s="53"/>
      <c r="V289" s="66"/>
    </row>
    <row r="290" customFormat="false" ht="15" hidden="false" customHeight="false" outlineLevel="0" collapsed="false">
      <c r="A290" s="10" t="str">
        <f aca="false">IF(B290="","","Q-"&amp;TEXT(ROW()-4,"000"))</f>
        <v/>
      </c>
      <c r="B290" s="53"/>
      <c r="C290" s="52"/>
      <c r="D290" s="52"/>
      <c r="E290" s="52"/>
      <c r="F290" s="52"/>
      <c r="G290" s="53"/>
      <c r="H290" s="52"/>
      <c r="I290" s="55"/>
      <c r="J290" s="55"/>
      <c r="K290" s="56" t="str">
        <f aca="false">IF(OR(F290="",I290=""),"",F290*I290+N(J290))</f>
        <v/>
      </c>
      <c r="L290" s="61" t="str">
        <f aca="false">IF(K290="","",INDEX(Settings!$B$14:$B$18,MATCH(K290,Settings!$A$14:$A$18,1)))</f>
        <v/>
      </c>
      <c r="M290" s="56" t="str">
        <f aca="false">IF(K290="","",CEILING(MAX(K290*(1+L290),K290+Settings!$B$5)/(1-Settings!$B$4),Settings!$B$6))</f>
        <v/>
      </c>
      <c r="N290" s="55"/>
      <c r="O290" s="56" t="str">
        <f aca="false">IF(K290="","",IF(N290="",M290,N290))</f>
        <v/>
      </c>
      <c r="P290" s="56" t="str">
        <f aca="false">IF(O290="","",O290*(1-Settings!$B$4)-K290)</f>
        <v/>
      </c>
      <c r="Q290" s="61" t="str">
        <f aca="false">IF(OR(O290="",O290=0),"",P290/O290)</f>
        <v/>
      </c>
      <c r="R290" s="52"/>
      <c r="S290" s="65" t="str">
        <f aca="false">IF(OR(B290="",R290="Paid",R290="Lost",R290="Shipped"),"",B290+Settings!$B$8)</f>
        <v/>
      </c>
      <c r="T290" s="10" t="str">
        <f aca="true">IF(OR(B290="",R290="Paid",R290="Lost"),"",TODAY()-B290)</f>
        <v/>
      </c>
      <c r="U290" s="53"/>
      <c r="V290" s="66"/>
    </row>
    <row r="291" customFormat="false" ht="15" hidden="false" customHeight="false" outlineLevel="0" collapsed="false">
      <c r="A291" s="10" t="str">
        <f aca="false">IF(B291="","","Q-"&amp;TEXT(ROW()-4,"000"))</f>
        <v/>
      </c>
      <c r="B291" s="53"/>
      <c r="C291" s="52"/>
      <c r="D291" s="52"/>
      <c r="E291" s="52"/>
      <c r="F291" s="52"/>
      <c r="G291" s="53"/>
      <c r="H291" s="52"/>
      <c r="I291" s="55"/>
      <c r="J291" s="55"/>
      <c r="K291" s="56" t="str">
        <f aca="false">IF(OR(F291="",I291=""),"",F291*I291+N(J291))</f>
        <v/>
      </c>
      <c r="L291" s="61" t="str">
        <f aca="false">IF(K291="","",INDEX(Settings!$B$14:$B$18,MATCH(K291,Settings!$A$14:$A$18,1)))</f>
        <v/>
      </c>
      <c r="M291" s="56" t="str">
        <f aca="false">IF(K291="","",CEILING(MAX(K291*(1+L291),K291+Settings!$B$5)/(1-Settings!$B$4),Settings!$B$6))</f>
        <v/>
      </c>
      <c r="N291" s="55"/>
      <c r="O291" s="56" t="str">
        <f aca="false">IF(K291="","",IF(N291="",M291,N291))</f>
        <v/>
      </c>
      <c r="P291" s="56" t="str">
        <f aca="false">IF(O291="","",O291*(1-Settings!$B$4)-K291)</f>
        <v/>
      </c>
      <c r="Q291" s="61" t="str">
        <f aca="false">IF(OR(O291="",O291=0),"",P291/O291)</f>
        <v/>
      </c>
      <c r="R291" s="52"/>
      <c r="S291" s="65" t="str">
        <f aca="false">IF(OR(B291="",R291="Paid",R291="Lost",R291="Shipped"),"",B291+Settings!$B$8)</f>
        <v/>
      </c>
      <c r="T291" s="10" t="str">
        <f aca="true">IF(OR(B291="",R291="Paid",R291="Lost"),"",TODAY()-B291)</f>
        <v/>
      </c>
      <c r="U291" s="53"/>
      <c r="V291" s="66"/>
    </row>
    <row r="292" customFormat="false" ht="15" hidden="false" customHeight="false" outlineLevel="0" collapsed="false">
      <c r="A292" s="10" t="str">
        <f aca="false">IF(B292="","","Q-"&amp;TEXT(ROW()-4,"000"))</f>
        <v/>
      </c>
      <c r="B292" s="53"/>
      <c r="C292" s="52"/>
      <c r="D292" s="52"/>
      <c r="E292" s="52"/>
      <c r="F292" s="52"/>
      <c r="G292" s="53"/>
      <c r="H292" s="52"/>
      <c r="I292" s="55"/>
      <c r="J292" s="55"/>
      <c r="K292" s="56" t="str">
        <f aca="false">IF(OR(F292="",I292=""),"",F292*I292+N(J292))</f>
        <v/>
      </c>
      <c r="L292" s="61" t="str">
        <f aca="false">IF(K292="","",INDEX(Settings!$B$14:$B$18,MATCH(K292,Settings!$A$14:$A$18,1)))</f>
        <v/>
      </c>
      <c r="M292" s="56" t="str">
        <f aca="false">IF(K292="","",CEILING(MAX(K292*(1+L292),K292+Settings!$B$5)/(1-Settings!$B$4),Settings!$B$6))</f>
        <v/>
      </c>
      <c r="N292" s="55"/>
      <c r="O292" s="56" t="str">
        <f aca="false">IF(K292="","",IF(N292="",M292,N292))</f>
        <v/>
      </c>
      <c r="P292" s="56" t="str">
        <f aca="false">IF(O292="","",O292*(1-Settings!$B$4)-K292)</f>
        <v/>
      </c>
      <c r="Q292" s="61" t="str">
        <f aca="false">IF(OR(O292="",O292=0),"",P292/O292)</f>
        <v/>
      </c>
      <c r="R292" s="52"/>
      <c r="S292" s="65" t="str">
        <f aca="false">IF(OR(B292="",R292="Paid",R292="Lost",R292="Shipped"),"",B292+Settings!$B$8)</f>
        <v/>
      </c>
      <c r="T292" s="10" t="str">
        <f aca="true">IF(OR(B292="",R292="Paid",R292="Lost"),"",TODAY()-B292)</f>
        <v/>
      </c>
      <c r="U292" s="53"/>
      <c r="V292" s="66"/>
    </row>
    <row r="293" customFormat="false" ht="15" hidden="false" customHeight="false" outlineLevel="0" collapsed="false">
      <c r="A293" s="10" t="str">
        <f aca="false">IF(B293="","","Q-"&amp;TEXT(ROW()-4,"000"))</f>
        <v/>
      </c>
      <c r="B293" s="53"/>
      <c r="C293" s="52"/>
      <c r="D293" s="52"/>
      <c r="E293" s="52"/>
      <c r="F293" s="52"/>
      <c r="G293" s="53"/>
      <c r="H293" s="52"/>
      <c r="I293" s="55"/>
      <c r="J293" s="55"/>
      <c r="K293" s="56" t="str">
        <f aca="false">IF(OR(F293="",I293=""),"",F293*I293+N(J293))</f>
        <v/>
      </c>
      <c r="L293" s="61" t="str">
        <f aca="false">IF(K293="","",INDEX(Settings!$B$14:$B$18,MATCH(K293,Settings!$A$14:$A$18,1)))</f>
        <v/>
      </c>
      <c r="M293" s="56" t="str">
        <f aca="false">IF(K293="","",CEILING(MAX(K293*(1+L293),K293+Settings!$B$5)/(1-Settings!$B$4),Settings!$B$6))</f>
        <v/>
      </c>
      <c r="N293" s="55"/>
      <c r="O293" s="56" t="str">
        <f aca="false">IF(K293="","",IF(N293="",M293,N293))</f>
        <v/>
      </c>
      <c r="P293" s="56" t="str">
        <f aca="false">IF(O293="","",O293*(1-Settings!$B$4)-K293)</f>
        <v/>
      </c>
      <c r="Q293" s="61" t="str">
        <f aca="false">IF(OR(O293="",O293=0),"",P293/O293)</f>
        <v/>
      </c>
      <c r="R293" s="52"/>
      <c r="S293" s="65" t="str">
        <f aca="false">IF(OR(B293="",R293="Paid",R293="Lost",R293="Shipped"),"",B293+Settings!$B$8)</f>
        <v/>
      </c>
      <c r="T293" s="10" t="str">
        <f aca="true">IF(OR(B293="",R293="Paid",R293="Lost"),"",TODAY()-B293)</f>
        <v/>
      </c>
      <c r="U293" s="53"/>
      <c r="V293" s="66"/>
    </row>
    <row r="294" customFormat="false" ht="15" hidden="false" customHeight="false" outlineLevel="0" collapsed="false">
      <c r="A294" s="10" t="str">
        <f aca="false">IF(B294="","","Q-"&amp;TEXT(ROW()-4,"000"))</f>
        <v/>
      </c>
      <c r="B294" s="53"/>
      <c r="C294" s="52"/>
      <c r="D294" s="52"/>
      <c r="E294" s="52"/>
      <c r="F294" s="52"/>
      <c r="G294" s="53"/>
      <c r="H294" s="52"/>
      <c r="I294" s="55"/>
      <c r="J294" s="55"/>
      <c r="K294" s="56" t="str">
        <f aca="false">IF(OR(F294="",I294=""),"",F294*I294+N(J294))</f>
        <v/>
      </c>
      <c r="L294" s="61" t="str">
        <f aca="false">IF(K294="","",INDEX(Settings!$B$14:$B$18,MATCH(K294,Settings!$A$14:$A$18,1)))</f>
        <v/>
      </c>
      <c r="M294" s="56" t="str">
        <f aca="false">IF(K294="","",CEILING(MAX(K294*(1+L294),K294+Settings!$B$5)/(1-Settings!$B$4),Settings!$B$6))</f>
        <v/>
      </c>
      <c r="N294" s="55"/>
      <c r="O294" s="56" t="str">
        <f aca="false">IF(K294="","",IF(N294="",M294,N294))</f>
        <v/>
      </c>
      <c r="P294" s="56" t="str">
        <f aca="false">IF(O294="","",O294*(1-Settings!$B$4)-K294)</f>
        <v/>
      </c>
      <c r="Q294" s="61" t="str">
        <f aca="false">IF(OR(O294="",O294=0),"",P294/O294)</f>
        <v/>
      </c>
      <c r="R294" s="52"/>
      <c r="S294" s="65" t="str">
        <f aca="false">IF(OR(B294="",R294="Paid",R294="Lost",R294="Shipped"),"",B294+Settings!$B$8)</f>
        <v/>
      </c>
      <c r="T294" s="10" t="str">
        <f aca="true">IF(OR(B294="",R294="Paid",R294="Lost"),"",TODAY()-B294)</f>
        <v/>
      </c>
      <c r="U294" s="53"/>
      <c r="V294" s="66"/>
    </row>
    <row r="295" customFormat="false" ht="15" hidden="false" customHeight="false" outlineLevel="0" collapsed="false">
      <c r="A295" s="10" t="str">
        <f aca="false">IF(B295="","","Q-"&amp;TEXT(ROW()-4,"000"))</f>
        <v/>
      </c>
      <c r="B295" s="53"/>
      <c r="C295" s="52"/>
      <c r="D295" s="52"/>
      <c r="E295" s="52"/>
      <c r="F295" s="52"/>
      <c r="G295" s="53"/>
      <c r="H295" s="52"/>
      <c r="I295" s="55"/>
      <c r="J295" s="55"/>
      <c r="K295" s="56" t="str">
        <f aca="false">IF(OR(F295="",I295=""),"",F295*I295+N(J295))</f>
        <v/>
      </c>
      <c r="L295" s="61" t="str">
        <f aca="false">IF(K295="","",INDEX(Settings!$B$14:$B$18,MATCH(K295,Settings!$A$14:$A$18,1)))</f>
        <v/>
      </c>
      <c r="M295" s="56" t="str">
        <f aca="false">IF(K295="","",CEILING(MAX(K295*(1+L295),K295+Settings!$B$5)/(1-Settings!$B$4),Settings!$B$6))</f>
        <v/>
      </c>
      <c r="N295" s="55"/>
      <c r="O295" s="56" t="str">
        <f aca="false">IF(K295="","",IF(N295="",M295,N295))</f>
        <v/>
      </c>
      <c r="P295" s="56" t="str">
        <f aca="false">IF(O295="","",O295*(1-Settings!$B$4)-K295)</f>
        <v/>
      </c>
      <c r="Q295" s="61" t="str">
        <f aca="false">IF(OR(O295="",O295=0),"",P295/O295)</f>
        <v/>
      </c>
      <c r="R295" s="52"/>
      <c r="S295" s="65" t="str">
        <f aca="false">IF(OR(B295="",R295="Paid",R295="Lost",R295="Shipped"),"",B295+Settings!$B$8)</f>
        <v/>
      </c>
      <c r="T295" s="10" t="str">
        <f aca="true">IF(OR(B295="",R295="Paid",R295="Lost"),"",TODAY()-B295)</f>
        <v/>
      </c>
      <c r="U295" s="53"/>
      <c r="V295" s="66"/>
    </row>
    <row r="296" customFormat="false" ht="15" hidden="false" customHeight="false" outlineLevel="0" collapsed="false">
      <c r="A296" s="10" t="str">
        <f aca="false">IF(B296="","","Q-"&amp;TEXT(ROW()-4,"000"))</f>
        <v/>
      </c>
      <c r="B296" s="53"/>
      <c r="C296" s="52"/>
      <c r="D296" s="52"/>
      <c r="E296" s="52"/>
      <c r="F296" s="52"/>
      <c r="G296" s="53"/>
      <c r="H296" s="52"/>
      <c r="I296" s="55"/>
      <c r="J296" s="55"/>
      <c r="K296" s="56" t="str">
        <f aca="false">IF(OR(F296="",I296=""),"",F296*I296+N(J296))</f>
        <v/>
      </c>
      <c r="L296" s="61" t="str">
        <f aca="false">IF(K296="","",INDEX(Settings!$B$14:$B$18,MATCH(K296,Settings!$A$14:$A$18,1)))</f>
        <v/>
      </c>
      <c r="M296" s="56" t="str">
        <f aca="false">IF(K296="","",CEILING(MAX(K296*(1+L296),K296+Settings!$B$5)/(1-Settings!$B$4),Settings!$B$6))</f>
        <v/>
      </c>
      <c r="N296" s="55"/>
      <c r="O296" s="56" t="str">
        <f aca="false">IF(K296="","",IF(N296="",M296,N296))</f>
        <v/>
      </c>
      <c r="P296" s="56" t="str">
        <f aca="false">IF(O296="","",O296*(1-Settings!$B$4)-K296)</f>
        <v/>
      </c>
      <c r="Q296" s="61" t="str">
        <f aca="false">IF(OR(O296="",O296=0),"",P296/O296)</f>
        <v/>
      </c>
      <c r="R296" s="52"/>
      <c r="S296" s="65" t="str">
        <f aca="false">IF(OR(B296="",R296="Paid",R296="Lost",R296="Shipped"),"",B296+Settings!$B$8)</f>
        <v/>
      </c>
      <c r="T296" s="10" t="str">
        <f aca="true">IF(OR(B296="",R296="Paid",R296="Lost"),"",TODAY()-B296)</f>
        <v/>
      </c>
      <c r="U296" s="53"/>
      <c r="V296" s="66"/>
    </row>
    <row r="297" customFormat="false" ht="15" hidden="false" customHeight="false" outlineLevel="0" collapsed="false">
      <c r="A297" s="10" t="str">
        <f aca="false">IF(B297="","","Q-"&amp;TEXT(ROW()-4,"000"))</f>
        <v/>
      </c>
      <c r="B297" s="53"/>
      <c r="C297" s="52"/>
      <c r="D297" s="52"/>
      <c r="E297" s="52"/>
      <c r="F297" s="52"/>
      <c r="G297" s="53"/>
      <c r="H297" s="52"/>
      <c r="I297" s="55"/>
      <c r="J297" s="55"/>
      <c r="K297" s="56" t="str">
        <f aca="false">IF(OR(F297="",I297=""),"",F297*I297+N(J297))</f>
        <v/>
      </c>
      <c r="L297" s="61" t="str">
        <f aca="false">IF(K297="","",INDEX(Settings!$B$14:$B$18,MATCH(K297,Settings!$A$14:$A$18,1)))</f>
        <v/>
      </c>
      <c r="M297" s="56" t="str">
        <f aca="false">IF(K297="","",CEILING(MAX(K297*(1+L297),K297+Settings!$B$5)/(1-Settings!$B$4),Settings!$B$6))</f>
        <v/>
      </c>
      <c r="N297" s="55"/>
      <c r="O297" s="56" t="str">
        <f aca="false">IF(K297="","",IF(N297="",M297,N297))</f>
        <v/>
      </c>
      <c r="P297" s="56" t="str">
        <f aca="false">IF(O297="","",O297*(1-Settings!$B$4)-K297)</f>
        <v/>
      </c>
      <c r="Q297" s="61" t="str">
        <f aca="false">IF(OR(O297="",O297=0),"",P297/O297)</f>
        <v/>
      </c>
      <c r="R297" s="52"/>
      <c r="S297" s="65" t="str">
        <f aca="false">IF(OR(B297="",R297="Paid",R297="Lost",R297="Shipped"),"",B297+Settings!$B$8)</f>
        <v/>
      </c>
      <c r="T297" s="10" t="str">
        <f aca="true">IF(OR(B297="",R297="Paid",R297="Lost"),"",TODAY()-B297)</f>
        <v/>
      </c>
      <c r="U297" s="53"/>
      <c r="V297" s="66"/>
    </row>
    <row r="298" customFormat="false" ht="15" hidden="false" customHeight="false" outlineLevel="0" collapsed="false">
      <c r="A298" s="10" t="str">
        <f aca="false">IF(B298="","","Q-"&amp;TEXT(ROW()-4,"000"))</f>
        <v/>
      </c>
      <c r="B298" s="53"/>
      <c r="C298" s="52"/>
      <c r="D298" s="52"/>
      <c r="E298" s="52"/>
      <c r="F298" s="52"/>
      <c r="G298" s="53"/>
      <c r="H298" s="52"/>
      <c r="I298" s="55"/>
      <c r="J298" s="55"/>
      <c r="K298" s="56" t="str">
        <f aca="false">IF(OR(F298="",I298=""),"",F298*I298+N(J298))</f>
        <v/>
      </c>
      <c r="L298" s="61" t="str">
        <f aca="false">IF(K298="","",INDEX(Settings!$B$14:$B$18,MATCH(K298,Settings!$A$14:$A$18,1)))</f>
        <v/>
      </c>
      <c r="M298" s="56" t="str">
        <f aca="false">IF(K298="","",CEILING(MAX(K298*(1+L298),K298+Settings!$B$5)/(1-Settings!$B$4),Settings!$B$6))</f>
        <v/>
      </c>
      <c r="N298" s="55"/>
      <c r="O298" s="56" t="str">
        <f aca="false">IF(K298="","",IF(N298="",M298,N298))</f>
        <v/>
      </c>
      <c r="P298" s="56" t="str">
        <f aca="false">IF(O298="","",O298*(1-Settings!$B$4)-K298)</f>
        <v/>
      </c>
      <c r="Q298" s="61" t="str">
        <f aca="false">IF(OR(O298="",O298=0),"",P298/O298)</f>
        <v/>
      </c>
      <c r="R298" s="52"/>
      <c r="S298" s="65" t="str">
        <f aca="false">IF(OR(B298="",R298="Paid",R298="Lost",R298="Shipped"),"",B298+Settings!$B$8)</f>
        <v/>
      </c>
      <c r="T298" s="10" t="str">
        <f aca="true">IF(OR(B298="",R298="Paid",R298="Lost"),"",TODAY()-B298)</f>
        <v/>
      </c>
      <c r="U298" s="53"/>
      <c r="V298" s="66"/>
    </row>
    <row r="299" customFormat="false" ht="15" hidden="false" customHeight="false" outlineLevel="0" collapsed="false">
      <c r="A299" s="10" t="str">
        <f aca="false">IF(B299="","","Q-"&amp;TEXT(ROW()-4,"000"))</f>
        <v/>
      </c>
      <c r="B299" s="53"/>
      <c r="C299" s="52"/>
      <c r="D299" s="52"/>
      <c r="E299" s="52"/>
      <c r="F299" s="52"/>
      <c r="G299" s="53"/>
      <c r="H299" s="52"/>
      <c r="I299" s="55"/>
      <c r="J299" s="55"/>
      <c r="K299" s="56" t="str">
        <f aca="false">IF(OR(F299="",I299=""),"",F299*I299+N(J299))</f>
        <v/>
      </c>
      <c r="L299" s="61" t="str">
        <f aca="false">IF(K299="","",INDEX(Settings!$B$14:$B$18,MATCH(K299,Settings!$A$14:$A$18,1)))</f>
        <v/>
      </c>
      <c r="M299" s="56" t="str">
        <f aca="false">IF(K299="","",CEILING(MAX(K299*(1+L299),K299+Settings!$B$5)/(1-Settings!$B$4),Settings!$B$6))</f>
        <v/>
      </c>
      <c r="N299" s="55"/>
      <c r="O299" s="56" t="str">
        <f aca="false">IF(K299="","",IF(N299="",M299,N299))</f>
        <v/>
      </c>
      <c r="P299" s="56" t="str">
        <f aca="false">IF(O299="","",O299*(1-Settings!$B$4)-K299)</f>
        <v/>
      </c>
      <c r="Q299" s="61" t="str">
        <f aca="false">IF(OR(O299="",O299=0),"",P299/O299)</f>
        <v/>
      </c>
      <c r="R299" s="52"/>
      <c r="S299" s="65" t="str">
        <f aca="false">IF(OR(B299="",R299="Paid",R299="Lost",R299="Shipped"),"",B299+Settings!$B$8)</f>
        <v/>
      </c>
      <c r="T299" s="10" t="str">
        <f aca="true">IF(OR(B299="",R299="Paid",R299="Lost"),"",TODAY()-B299)</f>
        <v/>
      </c>
      <c r="U299" s="53"/>
      <c r="V299" s="66"/>
    </row>
    <row r="300" customFormat="false" ht="15" hidden="false" customHeight="false" outlineLevel="0" collapsed="false">
      <c r="A300" s="10" t="str">
        <f aca="false">IF(B300="","","Q-"&amp;TEXT(ROW()-4,"000"))</f>
        <v/>
      </c>
      <c r="B300" s="53"/>
      <c r="C300" s="52"/>
      <c r="D300" s="52"/>
      <c r="E300" s="52"/>
      <c r="F300" s="52"/>
      <c r="G300" s="53"/>
      <c r="H300" s="52"/>
      <c r="I300" s="55"/>
      <c r="J300" s="55"/>
      <c r="K300" s="56" t="str">
        <f aca="false">IF(OR(F300="",I300=""),"",F300*I300+N(J300))</f>
        <v/>
      </c>
      <c r="L300" s="61" t="str">
        <f aca="false">IF(K300="","",INDEX(Settings!$B$14:$B$18,MATCH(K300,Settings!$A$14:$A$18,1)))</f>
        <v/>
      </c>
      <c r="M300" s="56" t="str">
        <f aca="false">IF(K300="","",CEILING(MAX(K300*(1+L300),K300+Settings!$B$5)/(1-Settings!$B$4),Settings!$B$6))</f>
        <v/>
      </c>
      <c r="N300" s="55"/>
      <c r="O300" s="56" t="str">
        <f aca="false">IF(K300="","",IF(N300="",M300,N300))</f>
        <v/>
      </c>
      <c r="P300" s="56" t="str">
        <f aca="false">IF(O300="","",O300*(1-Settings!$B$4)-K300)</f>
        <v/>
      </c>
      <c r="Q300" s="61" t="str">
        <f aca="false">IF(OR(O300="",O300=0),"",P300/O300)</f>
        <v/>
      </c>
      <c r="R300" s="52"/>
      <c r="S300" s="65" t="str">
        <f aca="false">IF(OR(B300="",R300="Paid",R300="Lost",R300="Shipped"),"",B300+Settings!$B$8)</f>
        <v/>
      </c>
      <c r="T300" s="10" t="str">
        <f aca="true">IF(OR(B300="",R300="Paid",R300="Lost"),"",TODAY()-B300)</f>
        <v/>
      </c>
      <c r="U300" s="53"/>
      <c r="V300" s="66"/>
    </row>
    <row r="301" customFormat="false" ht="15" hidden="false" customHeight="false" outlineLevel="0" collapsed="false">
      <c r="A301" s="10" t="str">
        <f aca="false">IF(B301="","","Q-"&amp;TEXT(ROW()-4,"000"))</f>
        <v/>
      </c>
      <c r="B301" s="53"/>
      <c r="C301" s="52"/>
      <c r="D301" s="52"/>
      <c r="E301" s="52"/>
      <c r="F301" s="52"/>
      <c r="G301" s="53"/>
      <c r="H301" s="52"/>
      <c r="I301" s="55"/>
      <c r="J301" s="55"/>
      <c r="K301" s="56" t="str">
        <f aca="false">IF(OR(F301="",I301=""),"",F301*I301+N(J301))</f>
        <v/>
      </c>
      <c r="L301" s="61" t="str">
        <f aca="false">IF(K301="","",INDEX(Settings!$B$14:$B$18,MATCH(K301,Settings!$A$14:$A$18,1)))</f>
        <v/>
      </c>
      <c r="M301" s="56" t="str">
        <f aca="false">IF(K301="","",CEILING(MAX(K301*(1+L301),K301+Settings!$B$5)/(1-Settings!$B$4),Settings!$B$6))</f>
        <v/>
      </c>
      <c r="N301" s="55"/>
      <c r="O301" s="56" t="str">
        <f aca="false">IF(K301="","",IF(N301="",M301,N301))</f>
        <v/>
      </c>
      <c r="P301" s="56" t="str">
        <f aca="false">IF(O301="","",O301*(1-Settings!$B$4)-K301)</f>
        <v/>
      </c>
      <c r="Q301" s="61" t="str">
        <f aca="false">IF(OR(O301="",O301=0),"",P301/O301)</f>
        <v/>
      </c>
      <c r="R301" s="52"/>
      <c r="S301" s="65" t="str">
        <f aca="false">IF(OR(B301="",R301="Paid",R301="Lost",R301="Shipped"),"",B301+Settings!$B$8)</f>
        <v/>
      </c>
      <c r="T301" s="10" t="str">
        <f aca="true">IF(OR(B301="",R301="Paid",R301="Lost"),"",TODAY()-B301)</f>
        <v/>
      </c>
      <c r="U301" s="53"/>
      <c r="V301" s="66"/>
    </row>
    <row r="302" customFormat="false" ht="15" hidden="false" customHeight="false" outlineLevel="0" collapsed="false">
      <c r="A302" s="10" t="str">
        <f aca="false">IF(B302="","","Q-"&amp;TEXT(ROW()-4,"000"))</f>
        <v/>
      </c>
      <c r="B302" s="53"/>
      <c r="C302" s="52"/>
      <c r="D302" s="52"/>
      <c r="E302" s="52"/>
      <c r="F302" s="52"/>
      <c r="G302" s="53"/>
      <c r="H302" s="52"/>
      <c r="I302" s="55"/>
      <c r="J302" s="55"/>
      <c r="K302" s="56" t="str">
        <f aca="false">IF(OR(F302="",I302=""),"",F302*I302+N(J302))</f>
        <v/>
      </c>
      <c r="L302" s="61" t="str">
        <f aca="false">IF(K302="","",INDEX(Settings!$B$14:$B$18,MATCH(K302,Settings!$A$14:$A$18,1)))</f>
        <v/>
      </c>
      <c r="M302" s="56" t="str">
        <f aca="false">IF(K302="","",CEILING(MAX(K302*(1+L302),K302+Settings!$B$5)/(1-Settings!$B$4),Settings!$B$6))</f>
        <v/>
      </c>
      <c r="N302" s="55"/>
      <c r="O302" s="56" t="str">
        <f aca="false">IF(K302="","",IF(N302="",M302,N302))</f>
        <v/>
      </c>
      <c r="P302" s="56" t="str">
        <f aca="false">IF(O302="","",O302*(1-Settings!$B$4)-K302)</f>
        <v/>
      </c>
      <c r="Q302" s="61" t="str">
        <f aca="false">IF(OR(O302="",O302=0),"",P302/O302)</f>
        <v/>
      </c>
      <c r="R302" s="52"/>
      <c r="S302" s="65" t="str">
        <f aca="false">IF(OR(B302="",R302="Paid",R302="Lost",R302="Shipped"),"",B302+Settings!$B$8)</f>
        <v/>
      </c>
      <c r="T302" s="10" t="str">
        <f aca="true">IF(OR(B302="",R302="Paid",R302="Lost"),"",TODAY()-B302)</f>
        <v/>
      </c>
      <c r="U302" s="53"/>
      <c r="V302" s="66"/>
    </row>
    <row r="303" customFormat="false" ht="15" hidden="false" customHeight="false" outlineLevel="0" collapsed="false">
      <c r="A303" s="10" t="str">
        <f aca="false">IF(B303="","","Q-"&amp;TEXT(ROW()-4,"000"))</f>
        <v/>
      </c>
      <c r="B303" s="53"/>
      <c r="C303" s="52"/>
      <c r="D303" s="52"/>
      <c r="E303" s="52"/>
      <c r="F303" s="52"/>
      <c r="G303" s="53"/>
      <c r="H303" s="52"/>
      <c r="I303" s="55"/>
      <c r="J303" s="55"/>
      <c r="K303" s="56" t="str">
        <f aca="false">IF(OR(F303="",I303=""),"",F303*I303+N(J303))</f>
        <v/>
      </c>
      <c r="L303" s="61" t="str">
        <f aca="false">IF(K303="","",INDEX(Settings!$B$14:$B$18,MATCH(K303,Settings!$A$14:$A$18,1)))</f>
        <v/>
      </c>
      <c r="M303" s="56" t="str">
        <f aca="false">IF(K303="","",CEILING(MAX(K303*(1+L303),K303+Settings!$B$5)/(1-Settings!$B$4),Settings!$B$6))</f>
        <v/>
      </c>
      <c r="N303" s="55"/>
      <c r="O303" s="56" t="str">
        <f aca="false">IF(K303="","",IF(N303="",M303,N303))</f>
        <v/>
      </c>
      <c r="P303" s="56" t="str">
        <f aca="false">IF(O303="","",O303*(1-Settings!$B$4)-K303)</f>
        <v/>
      </c>
      <c r="Q303" s="61" t="str">
        <f aca="false">IF(OR(O303="",O303=0),"",P303/O303)</f>
        <v/>
      </c>
      <c r="R303" s="52"/>
      <c r="S303" s="65" t="str">
        <f aca="false">IF(OR(B303="",R303="Paid",R303="Lost",R303="Shipped"),"",B303+Settings!$B$8)</f>
        <v/>
      </c>
      <c r="T303" s="10" t="str">
        <f aca="true">IF(OR(B303="",R303="Paid",R303="Lost"),"",TODAY()-B303)</f>
        <v/>
      </c>
      <c r="U303" s="53"/>
      <c r="V303" s="66"/>
    </row>
    <row r="304" customFormat="false" ht="15" hidden="false" customHeight="false" outlineLevel="0" collapsed="false">
      <c r="A304" s="10" t="str">
        <f aca="false">IF(B304="","","Q-"&amp;TEXT(ROW()-4,"000"))</f>
        <v/>
      </c>
      <c r="B304" s="53"/>
      <c r="C304" s="52"/>
      <c r="D304" s="52"/>
      <c r="E304" s="52"/>
      <c r="F304" s="52"/>
      <c r="G304" s="53"/>
      <c r="H304" s="52"/>
      <c r="I304" s="55"/>
      <c r="J304" s="55"/>
      <c r="K304" s="56" t="str">
        <f aca="false">IF(OR(F304="",I304=""),"",F304*I304+N(J304))</f>
        <v/>
      </c>
      <c r="L304" s="61" t="str">
        <f aca="false">IF(K304="","",INDEX(Settings!$B$14:$B$18,MATCH(K304,Settings!$A$14:$A$18,1)))</f>
        <v/>
      </c>
      <c r="M304" s="56" t="str">
        <f aca="false">IF(K304="","",CEILING(MAX(K304*(1+L304),K304+Settings!$B$5)/(1-Settings!$B$4),Settings!$B$6))</f>
        <v/>
      </c>
      <c r="N304" s="55"/>
      <c r="O304" s="56" t="str">
        <f aca="false">IF(K304="","",IF(N304="",M304,N304))</f>
        <v/>
      </c>
      <c r="P304" s="56" t="str">
        <f aca="false">IF(O304="","",O304*(1-Settings!$B$4)-K304)</f>
        <v/>
      </c>
      <c r="Q304" s="61" t="str">
        <f aca="false">IF(OR(O304="",O304=0),"",P304/O304)</f>
        <v/>
      </c>
      <c r="R304" s="52"/>
      <c r="S304" s="65" t="str">
        <f aca="false">IF(OR(B304="",R304="Paid",R304="Lost",R304="Shipped"),"",B304+Settings!$B$8)</f>
        <v/>
      </c>
      <c r="T304" s="10" t="str">
        <f aca="true">IF(OR(B304="",R304="Paid",R304="Lost"),"",TODAY()-B304)</f>
        <v/>
      </c>
      <c r="U304" s="53"/>
      <c r="V304" s="66"/>
    </row>
  </sheetData>
  <autoFilter ref="A4:V304"/>
  <conditionalFormatting sqref="R5:R304">
    <cfRule type="cellIs" priority="2" operator="equal" aboveAverage="0" equalAverage="0" bottom="0" percent="0" rank="0" text="" dxfId="11">
      <formula>"New"</formula>
    </cfRule>
    <cfRule type="cellIs" priority="3" operator="equal" aboveAverage="0" equalAverage="0" bottom="0" percent="0" rank="0" text="" dxfId="12">
      <formula>"Sourcing"</formula>
    </cfRule>
    <cfRule type="cellIs" priority="4" operator="equal" aboveAverage="0" equalAverage="0" bottom="0" percent="0" rank="0" text="" dxfId="13">
      <formula>"Quoted"</formula>
    </cfRule>
    <cfRule type="cellIs" priority="5" operator="equal" aboveAverage="0" equalAverage="0" bottom="0" percent="0" rank="0" text="" dxfId="14">
      <formula>"Won"</formula>
    </cfRule>
    <cfRule type="cellIs" priority="6" operator="equal" aboveAverage="0" equalAverage="0" bottom="0" percent="0" rank="0" text="" dxfId="15">
      <formula>"Ordered"</formula>
    </cfRule>
    <cfRule type="cellIs" priority="7" operator="equal" aboveAverage="0" equalAverage="0" bottom="0" percent="0" rank="0" text="" dxfId="16">
      <formula>"Shipped"</formula>
    </cfRule>
    <cfRule type="cellIs" priority="8" operator="equal" aboveAverage="0" equalAverage="0" bottom="0" percent="0" rank="0" text="" dxfId="17">
      <formula>"Paid"</formula>
    </cfRule>
    <cfRule type="cellIs" priority="9" operator="equal" aboveAverage="0" equalAverage="0" bottom="0" percent="0" rank="0" text="" dxfId="18">
      <formula>"Lost"</formula>
    </cfRule>
  </conditionalFormatting>
  <conditionalFormatting sqref="Q5:Q304">
    <cfRule type="expression" priority="10" aboveAverage="0" equalAverage="0" bottom="0" percent="0" rank="0" text="" dxfId="1">
      <formula>AND(Q5&lt;&gt;"",Q5&lt;0.1)</formula>
    </cfRule>
  </conditionalFormatting>
  <conditionalFormatting sqref="S5:S304">
    <cfRule type="expression" priority="11" aboveAverage="0" equalAverage="0" bottom="0" percent="0" rank="0" text="" dxfId="19">
      <formula>AND(S5&lt;&gt;"",S5&lt;=TODAY(),OR(R5="New",R5="Sourcing",R5="Quoted"))</formula>
    </cfRule>
  </conditionalFormatting>
  <dataValidations count="3">
    <dataValidation allowBlank="true" errorStyle="stop" operator="between" showDropDown="false" showErrorMessage="false" showInputMessage="false" sqref="R5:R304" type="list">
      <formula1>Settings!$A$24:$A$31</formula1>
      <formula2>0</formula2>
    </dataValidation>
    <dataValidation allowBlank="true" errorStyle="stop" operator="between" showDropDown="false" showErrorMessage="false" showInputMessage="false" sqref="C5:C304" type="list">
      <formula1>Customers!$A$5:$A$154</formula1>
      <formula2>0</formula2>
    </dataValidation>
    <dataValidation allowBlank="true" errorStyle="stop" operator="between" showDropDown="false" showErrorMessage="false" showInputMessage="false" sqref="H5:H304" type="list">
      <formula1>Suppliers!$A$5:$A$154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14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8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9" t="s">
        <v>209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31.5" hidden="false" customHeight="true" outlineLevel="0" collapsed="false">
      <c r="A4" s="43" t="s">
        <v>185</v>
      </c>
      <c r="B4" s="43" t="s">
        <v>210</v>
      </c>
      <c r="C4" s="43" t="s">
        <v>211</v>
      </c>
      <c r="D4" s="43" t="s">
        <v>212</v>
      </c>
      <c r="E4" s="43" t="s">
        <v>213</v>
      </c>
      <c r="F4" s="43" t="s">
        <v>214</v>
      </c>
      <c r="G4" s="43" t="s">
        <v>215</v>
      </c>
      <c r="H4" s="43" t="s">
        <v>216</v>
      </c>
      <c r="I4" s="43" t="s">
        <v>217</v>
      </c>
      <c r="J4" s="43" t="s">
        <v>218</v>
      </c>
      <c r="K4" s="43" t="s">
        <v>219</v>
      </c>
      <c r="L4" s="43" t="s">
        <v>220</v>
      </c>
      <c r="M4" s="43" t="s">
        <v>197</v>
      </c>
    </row>
    <row r="5" customFormat="false" ht="15" hidden="false" customHeight="false" outlineLevel="0" collapsed="false">
      <c r="A5" s="52" t="s">
        <v>199</v>
      </c>
      <c r="B5" s="52" t="s">
        <v>221</v>
      </c>
      <c r="C5" s="52" t="s">
        <v>222</v>
      </c>
      <c r="D5" s="52" t="s">
        <v>223</v>
      </c>
      <c r="E5" s="52" t="s">
        <v>224</v>
      </c>
      <c r="F5" s="52" t="n">
        <v>2</v>
      </c>
      <c r="G5" s="52" t="s">
        <v>225</v>
      </c>
      <c r="H5" s="52" t="s">
        <v>226</v>
      </c>
      <c r="I5" s="52" t="s">
        <v>227</v>
      </c>
      <c r="J5" s="52" t="n">
        <v>5</v>
      </c>
      <c r="K5" s="67" t="n">
        <f aca="false">IF(A5="","",COUNTIF('RFQ Log'!$H$5:$H$304,A5))</f>
        <v>2</v>
      </c>
      <c r="L5" s="68" t="n">
        <f aca="false">IF(A5="","",SUMIFS('RFQ Log'!$P$5:$P$304,'RFQ Log'!$H$5:$H$304,A5,'RFQ Log'!$R$5:$R$304,"Paid"))</f>
        <v>52.05</v>
      </c>
      <c r="M5" s="52" t="s">
        <v>228</v>
      </c>
    </row>
    <row r="6" customFormat="false" ht="15" hidden="false" customHeight="false" outlineLevel="0" collapsed="false">
      <c r="A6" s="52" t="s">
        <v>204</v>
      </c>
      <c r="B6" s="52" t="s">
        <v>229</v>
      </c>
      <c r="C6" s="52" t="s">
        <v>230</v>
      </c>
      <c r="D6" s="52" t="s">
        <v>231</v>
      </c>
      <c r="E6" s="52" t="s">
        <v>232</v>
      </c>
      <c r="F6" s="52" t="n">
        <v>5</v>
      </c>
      <c r="G6" s="52" t="s">
        <v>233</v>
      </c>
      <c r="H6" s="52" t="s">
        <v>234</v>
      </c>
      <c r="I6" s="52" t="s">
        <v>227</v>
      </c>
      <c r="J6" s="52" t="n">
        <v>4</v>
      </c>
      <c r="K6" s="67" t="n">
        <f aca="false">IF(A6="","",COUNTIF('RFQ Log'!$H$5:$H$304,A6))</f>
        <v>1</v>
      </c>
      <c r="L6" s="68" t="n">
        <f aca="false">IF(A6="","",SUMIFS('RFQ Log'!$P$5:$P$304,'RFQ Log'!$H$5:$H$304,A6,'RFQ Log'!$R$5:$R$304,"Paid"))</f>
        <v>0</v>
      </c>
      <c r="M6" s="52" t="s">
        <v>235</v>
      </c>
    </row>
    <row r="7" customFormat="false" ht="15" hidden="false" customHeight="false" outlineLevel="0" collapsed="false">
      <c r="A7" s="52"/>
      <c r="B7" s="52"/>
      <c r="C7" s="52"/>
      <c r="D7" s="52"/>
      <c r="E7" s="52"/>
      <c r="F7" s="52"/>
      <c r="G7" s="52"/>
      <c r="H7" s="52"/>
      <c r="I7" s="52"/>
      <c r="J7" s="52"/>
      <c r="K7" s="67" t="str">
        <f aca="false">IF(A7="","",COUNTIF('RFQ Log'!$H$5:$H$304,A7))</f>
        <v/>
      </c>
      <c r="L7" s="68" t="str">
        <f aca="false">IF(A7="","",SUMIFS('RFQ Log'!$P$5:$P$304,'RFQ Log'!$H$5:$H$304,A7,'RFQ Log'!$R$5:$R$304,"Paid"))</f>
        <v/>
      </c>
      <c r="M7" s="52"/>
    </row>
    <row r="8" customFormat="false" ht="15" hidden="false" customHeight="false" outlineLevel="0" collapsed="false">
      <c r="A8" s="52"/>
      <c r="B8" s="52"/>
      <c r="C8" s="52"/>
      <c r="D8" s="52"/>
      <c r="E8" s="52"/>
      <c r="F8" s="52"/>
      <c r="G8" s="52"/>
      <c r="H8" s="52"/>
      <c r="I8" s="52"/>
      <c r="J8" s="52"/>
      <c r="K8" s="67" t="str">
        <f aca="false">IF(A8="","",COUNTIF('RFQ Log'!$H$5:$H$304,A8))</f>
        <v/>
      </c>
      <c r="L8" s="68" t="str">
        <f aca="false">IF(A8="","",SUMIFS('RFQ Log'!$P$5:$P$304,'RFQ Log'!$H$5:$H$304,A8,'RFQ Log'!$R$5:$R$304,"Paid"))</f>
        <v/>
      </c>
      <c r="M8" s="52"/>
    </row>
    <row r="9" customFormat="false" ht="15" hidden="false" customHeight="false" outlineLevel="0" collapsed="false">
      <c r="A9" s="52"/>
      <c r="B9" s="52"/>
      <c r="C9" s="52"/>
      <c r="D9" s="52"/>
      <c r="E9" s="52"/>
      <c r="F9" s="52"/>
      <c r="G9" s="52"/>
      <c r="H9" s="52"/>
      <c r="I9" s="52"/>
      <c r="J9" s="52"/>
      <c r="K9" s="67" t="str">
        <f aca="false">IF(A9="","",COUNTIF('RFQ Log'!$H$5:$H$304,A9))</f>
        <v/>
      </c>
      <c r="L9" s="68" t="str">
        <f aca="false">IF(A9="","",SUMIFS('RFQ Log'!$P$5:$P$304,'RFQ Log'!$H$5:$H$304,A9,'RFQ Log'!$R$5:$R$304,"Paid"))</f>
        <v/>
      </c>
      <c r="M9" s="52"/>
    </row>
    <row r="10" customFormat="false" ht="15" hidden="false" customHeight="false" outlineLevel="0" collapsed="false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67" t="str">
        <f aca="false">IF(A10="","",COUNTIF('RFQ Log'!$H$5:$H$304,A10))</f>
        <v/>
      </c>
      <c r="L10" s="68" t="str">
        <f aca="false">IF(A10="","",SUMIFS('RFQ Log'!$P$5:$P$304,'RFQ Log'!$H$5:$H$304,A10,'RFQ Log'!$R$5:$R$304,"Paid"))</f>
        <v/>
      </c>
      <c r="M10" s="52"/>
    </row>
    <row r="11" customFormat="false" ht="15" hidden="false" customHeight="false" outlineLevel="0" collapsed="false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67" t="str">
        <f aca="false">IF(A11="","",COUNTIF('RFQ Log'!$H$5:$H$304,A11))</f>
        <v/>
      </c>
      <c r="L11" s="68" t="str">
        <f aca="false">IF(A11="","",SUMIFS('RFQ Log'!$P$5:$P$304,'RFQ Log'!$H$5:$H$304,A11,'RFQ Log'!$R$5:$R$304,"Paid"))</f>
        <v/>
      </c>
      <c r="M11" s="52"/>
    </row>
    <row r="12" customFormat="false" ht="15" hidden="false" customHeight="false" outlineLevel="0" collapsed="false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67" t="str">
        <f aca="false">IF(A12="","",COUNTIF('RFQ Log'!$H$5:$H$304,A12))</f>
        <v/>
      </c>
      <c r="L12" s="68" t="str">
        <f aca="false">IF(A12="","",SUMIFS('RFQ Log'!$P$5:$P$304,'RFQ Log'!$H$5:$H$304,A12,'RFQ Log'!$R$5:$R$304,"Paid"))</f>
        <v/>
      </c>
      <c r="M12" s="52"/>
    </row>
    <row r="13" customFormat="false" ht="15" hidden="false" customHeight="false" outlineLevel="0" collapsed="false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67" t="str">
        <f aca="false">IF(A13="","",COUNTIF('RFQ Log'!$H$5:$H$304,A13))</f>
        <v/>
      </c>
      <c r="L13" s="68" t="str">
        <f aca="false">IF(A13="","",SUMIFS('RFQ Log'!$P$5:$P$304,'RFQ Log'!$H$5:$H$304,A13,'RFQ Log'!$R$5:$R$304,"Paid"))</f>
        <v/>
      </c>
      <c r="M13" s="52"/>
    </row>
    <row r="14" customFormat="false" ht="15" hidden="false" customHeight="false" outlineLevel="0" collapsed="false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67" t="str">
        <f aca="false">IF(A14="","",COUNTIF('RFQ Log'!$H$5:$H$304,A14))</f>
        <v/>
      </c>
      <c r="L14" s="68" t="str">
        <f aca="false">IF(A14="","",SUMIFS('RFQ Log'!$P$5:$P$304,'RFQ Log'!$H$5:$H$304,A14,'RFQ Log'!$R$5:$R$304,"Paid"))</f>
        <v/>
      </c>
      <c r="M14" s="52"/>
    </row>
    <row r="15" customFormat="false" ht="15" hidden="false" customHeight="false" outlineLevel="0" collapsed="false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67" t="str">
        <f aca="false">IF(A15="","",COUNTIF('RFQ Log'!$H$5:$H$304,A15))</f>
        <v/>
      </c>
      <c r="L15" s="68" t="str">
        <f aca="false">IF(A15="","",SUMIFS('RFQ Log'!$P$5:$P$304,'RFQ Log'!$H$5:$H$304,A15,'RFQ Log'!$R$5:$R$304,"Paid"))</f>
        <v/>
      </c>
      <c r="M15" s="52"/>
    </row>
    <row r="16" customFormat="false" ht="15" hidden="false" customHeight="false" outlineLevel="0" collapsed="false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67" t="str">
        <f aca="false">IF(A16="","",COUNTIF('RFQ Log'!$H$5:$H$304,A16))</f>
        <v/>
      </c>
      <c r="L16" s="68" t="str">
        <f aca="false">IF(A16="","",SUMIFS('RFQ Log'!$P$5:$P$304,'RFQ Log'!$H$5:$H$304,A16,'RFQ Log'!$R$5:$R$304,"Paid"))</f>
        <v/>
      </c>
      <c r="M16" s="52"/>
    </row>
    <row r="17" customFormat="false" ht="15" hidden="false" customHeight="fals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67" t="str">
        <f aca="false">IF(A17="","",COUNTIF('RFQ Log'!$H$5:$H$304,A17))</f>
        <v/>
      </c>
      <c r="L17" s="68" t="str">
        <f aca="false">IF(A17="","",SUMIFS('RFQ Log'!$P$5:$P$304,'RFQ Log'!$H$5:$H$304,A17,'RFQ Log'!$R$5:$R$304,"Paid"))</f>
        <v/>
      </c>
      <c r="M17" s="52"/>
    </row>
    <row r="18" customFormat="false" ht="15" hidden="false" customHeight="false" outlineLevel="0" collapsed="false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67" t="str">
        <f aca="false">IF(A18="","",COUNTIF('RFQ Log'!$H$5:$H$304,A18))</f>
        <v/>
      </c>
      <c r="L18" s="68" t="str">
        <f aca="false">IF(A18="","",SUMIFS('RFQ Log'!$P$5:$P$304,'RFQ Log'!$H$5:$H$304,A18,'RFQ Log'!$R$5:$R$304,"Paid"))</f>
        <v/>
      </c>
      <c r="M18" s="52"/>
    </row>
    <row r="19" customFormat="false" ht="15" hidden="false" customHeight="false" outlineLevel="0" collapsed="false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67" t="str">
        <f aca="false">IF(A19="","",COUNTIF('RFQ Log'!$H$5:$H$304,A19))</f>
        <v/>
      </c>
      <c r="L19" s="68" t="str">
        <f aca="false">IF(A19="","",SUMIFS('RFQ Log'!$P$5:$P$304,'RFQ Log'!$H$5:$H$304,A19,'RFQ Log'!$R$5:$R$304,"Paid"))</f>
        <v/>
      </c>
      <c r="M19" s="52"/>
    </row>
    <row r="20" customFormat="false" ht="15" hidden="false" customHeight="false" outlineLevel="0" collapsed="false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67" t="str">
        <f aca="false">IF(A20="","",COUNTIF('RFQ Log'!$H$5:$H$304,A20))</f>
        <v/>
      </c>
      <c r="L20" s="68" t="str">
        <f aca="false">IF(A20="","",SUMIFS('RFQ Log'!$P$5:$P$304,'RFQ Log'!$H$5:$H$304,A20,'RFQ Log'!$R$5:$R$304,"Paid"))</f>
        <v/>
      </c>
      <c r="M20" s="52"/>
    </row>
    <row r="21" customFormat="false" ht="15" hidden="false" customHeight="false" outlineLevel="0" collapsed="false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67" t="str">
        <f aca="false">IF(A21="","",COUNTIF('RFQ Log'!$H$5:$H$304,A21))</f>
        <v/>
      </c>
      <c r="L21" s="68" t="str">
        <f aca="false">IF(A21="","",SUMIFS('RFQ Log'!$P$5:$P$304,'RFQ Log'!$H$5:$H$304,A21,'RFQ Log'!$R$5:$R$304,"Paid"))</f>
        <v/>
      </c>
      <c r="M21" s="52"/>
    </row>
    <row r="22" customFormat="false" ht="15" hidden="false" customHeight="fals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67" t="str">
        <f aca="false">IF(A22="","",COUNTIF('RFQ Log'!$H$5:$H$304,A22))</f>
        <v/>
      </c>
      <c r="L22" s="68" t="str">
        <f aca="false">IF(A22="","",SUMIFS('RFQ Log'!$P$5:$P$304,'RFQ Log'!$H$5:$H$304,A22,'RFQ Log'!$R$5:$R$304,"Paid"))</f>
        <v/>
      </c>
      <c r="M22" s="52"/>
    </row>
    <row r="23" customFormat="false" ht="15" hidden="false" customHeight="fals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67" t="str">
        <f aca="false">IF(A23="","",COUNTIF('RFQ Log'!$H$5:$H$304,A23))</f>
        <v/>
      </c>
      <c r="L23" s="68" t="str">
        <f aca="false">IF(A23="","",SUMIFS('RFQ Log'!$P$5:$P$304,'RFQ Log'!$H$5:$H$304,A23,'RFQ Log'!$R$5:$R$304,"Paid"))</f>
        <v/>
      </c>
      <c r="M23" s="52"/>
    </row>
    <row r="24" customFormat="false" ht="15" hidden="false" customHeight="fals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67" t="str">
        <f aca="false">IF(A24="","",COUNTIF('RFQ Log'!$H$5:$H$304,A24))</f>
        <v/>
      </c>
      <c r="L24" s="68" t="str">
        <f aca="false">IF(A24="","",SUMIFS('RFQ Log'!$P$5:$P$304,'RFQ Log'!$H$5:$H$304,A24,'RFQ Log'!$R$5:$R$304,"Paid"))</f>
        <v/>
      </c>
      <c r="M24" s="52"/>
    </row>
    <row r="25" customFormat="false" ht="15" hidden="false" customHeight="false" outlineLevel="0" collapsed="false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67" t="str">
        <f aca="false">IF(A25="","",COUNTIF('RFQ Log'!$H$5:$H$304,A25))</f>
        <v/>
      </c>
      <c r="L25" s="68" t="str">
        <f aca="false">IF(A25="","",SUMIFS('RFQ Log'!$P$5:$P$304,'RFQ Log'!$H$5:$H$304,A25,'RFQ Log'!$R$5:$R$304,"Paid"))</f>
        <v/>
      </c>
      <c r="M25" s="52"/>
    </row>
    <row r="26" customFormat="false" ht="15" hidden="false" customHeight="fals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67" t="str">
        <f aca="false">IF(A26="","",COUNTIF('RFQ Log'!$H$5:$H$304,A26))</f>
        <v/>
      </c>
      <c r="L26" s="68" t="str">
        <f aca="false">IF(A26="","",SUMIFS('RFQ Log'!$P$5:$P$304,'RFQ Log'!$H$5:$H$304,A26,'RFQ Log'!$R$5:$R$304,"Paid"))</f>
        <v/>
      </c>
      <c r="M26" s="52"/>
    </row>
    <row r="27" customFormat="false" ht="15" hidden="false" customHeight="fals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67" t="str">
        <f aca="false">IF(A27="","",COUNTIF('RFQ Log'!$H$5:$H$304,A27))</f>
        <v/>
      </c>
      <c r="L27" s="68" t="str">
        <f aca="false">IF(A27="","",SUMIFS('RFQ Log'!$P$5:$P$304,'RFQ Log'!$H$5:$H$304,A27,'RFQ Log'!$R$5:$R$304,"Paid"))</f>
        <v/>
      </c>
      <c r="M27" s="52"/>
    </row>
    <row r="28" customFormat="false" ht="15" hidden="false" customHeight="fals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67" t="str">
        <f aca="false">IF(A28="","",COUNTIF('RFQ Log'!$H$5:$H$304,A28))</f>
        <v/>
      </c>
      <c r="L28" s="68" t="str">
        <f aca="false">IF(A28="","",SUMIFS('RFQ Log'!$P$5:$P$304,'RFQ Log'!$H$5:$H$304,A28,'RFQ Log'!$R$5:$R$304,"Paid"))</f>
        <v/>
      </c>
      <c r="M28" s="52"/>
    </row>
    <row r="29" customFormat="false" ht="15" hidden="false" customHeight="fals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67" t="str">
        <f aca="false">IF(A29="","",COUNTIF('RFQ Log'!$H$5:$H$304,A29))</f>
        <v/>
      </c>
      <c r="L29" s="68" t="str">
        <f aca="false">IF(A29="","",SUMIFS('RFQ Log'!$P$5:$P$304,'RFQ Log'!$H$5:$H$304,A29,'RFQ Log'!$R$5:$R$304,"Paid"))</f>
        <v/>
      </c>
      <c r="M29" s="52"/>
    </row>
    <row r="30" customFormat="false" ht="15" hidden="false" customHeight="false" outlineLevel="0" collapsed="false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67" t="str">
        <f aca="false">IF(A30="","",COUNTIF('RFQ Log'!$H$5:$H$304,A30))</f>
        <v/>
      </c>
      <c r="L30" s="68" t="str">
        <f aca="false">IF(A30="","",SUMIFS('RFQ Log'!$P$5:$P$304,'RFQ Log'!$H$5:$H$304,A30,'RFQ Log'!$R$5:$R$304,"Paid"))</f>
        <v/>
      </c>
      <c r="M30" s="52"/>
    </row>
    <row r="31" customFormat="false" ht="15" hidden="false" customHeight="fals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67" t="str">
        <f aca="false">IF(A31="","",COUNTIF('RFQ Log'!$H$5:$H$304,A31))</f>
        <v/>
      </c>
      <c r="L31" s="68" t="str">
        <f aca="false">IF(A31="","",SUMIFS('RFQ Log'!$P$5:$P$304,'RFQ Log'!$H$5:$H$304,A31,'RFQ Log'!$R$5:$R$304,"Paid"))</f>
        <v/>
      </c>
      <c r="M31" s="52"/>
    </row>
    <row r="32" customFormat="false" ht="15" hidden="false" customHeight="fals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67" t="str">
        <f aca="false">IF(A32="","",COUNTIF('RFQ Log'!$H$5:$H$304,A32))</f>
        <v/>
      </c>
      <c r="L32" s="68" t="str">
        <f aca="false">IF(A32="","",SUMIFS('RFQ Log'!$P$5:$P$304,'RFQ Log'!$H$5:$H$304,A32,'RFQ Log'!$R$5:$R$304,"Paid"))</f>
        <v/>
      </c>
      <c r="M32" s="52"/>
    </row>
    <row r="33" customFormat="false" ht="15" hidden="false" customHeight="fals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67" t="str">
        <f aca="false">IF(A33="","",COUNTIF('RFQ Log'!$H$5:$H$304,A33))</f>
        <v/>
      </c>
      <c r="L33" s="68" t="str">
        <f aca="false">IF(A33="","",SUMIFS('RFQ Log'!$P$5:$P$304,'RFQ Log'!$H$5:$H$304,A33,'RFQ Log'!$R$5:$R$304,"Paid"))</f>
        <v/>
      </c>
      <c r="M33" s="52"/>
    </row>
    <row r="34" customFormat="false" ht="15" hidden="false" customHeight="fals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67" t="str">
        <f aca="false">IF(A34="","",COUNTIF('RFQ Log'!$H$5:$H$304,A34))</f>
        <v/>
      </c>
      <c r="L34" s="68" t="str">
        <f aca="false">IF(A34="","",SUMIFS('RFQ Log'!$P$5:$P$304,'RFQ Log'!$H$5:$H$304,A34,'RFQ Log'!$R$5:$R$304,"Paid"))</f>
        <v/>
      </c>
      <c r="M34" s="52"/>
    </row>
    <row r="35" customFormat="false" ht="15" hidden="false" customHeight="fals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67" t="str">
        <f aca="false">IF(A35="","",COUNTIF('RFQ Log'!$H$5:$H$304,A35))</f>
        <v/>
      </c>
      <c r="L35" s="68" t="str">
        <f aca="false">IF(A35="","",SUMIFS('RFQ Log'!$P$5:$P$304,'RFQ Log'!$H$5:$H$304,A35,'RFQ Log'!$R$5:$R$304,"Paid"))</f>
        <v/>
      </c>
      <c r="M35" s="52"/>
    </row>
    <row r="36" customFormat="false" ht="15" hidden="false" customHeight="false" outlineLevel="0" collapsed="false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67" t="str">
        <f aca="false">IF(A36="","",COUNTIF('RFQ Log'!$H$5:$H$304,A36))</f>
        <v/>
      </c>
      <c r="L36" s="68" t="str">
        <f aca="false">IF(A36="","",SUMIFS('RFQ Log'!$P$5:$P$304,'RFQ Log'!$H$5:$H$304,A36,'RFQ Log'!$R$5:$R$304,"Paid"))</f>
        <v/>
      </c>
      <c r="M36" s="52"/>
    </row>
    <row r="37" customFormat="false" ht="15" hidden="false" customHeight="fals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67" t="str">
        <f aca="false">IF(A37="","",COUNTIF('RFQ Log'!$H$5:$H$304,A37))</f>
        <v/>
      </c>
      <c r="L37" s="68" t="str">
        <f aca="false">IF(A37="","",SUMIFS('RFQ Log'!$P$5:$P$304,'RFQ Log'!$H$5:$H$304,A37,'RFQ Log'!$R$5:$R$304,"Paid"))</f>
        <v/>
      </c>
      <c r="M37" s="52"/>
    </row>
    <row r="38" customFormat="false" ht="15" hidden="false" customHeight="fals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67" t="str">
        <f aca="false">IF(A38="","",COUNTIF('RFQ Log'!$H$5:$H$304,A38))</f>
        <v/>
      </c>
      <c r="L38" s="68" t="str">
        <f aca="false">IF(A38="","",SUMIFS('RFQ Log'!$P$5:$P$304,'RFQ Log'!$H$5:$H$304,A38,'RFQ Log'!$R$5:$R$304,"Paid"))</f>
        <v/>
      </c>
      <c r="M38" s="52"/>
    </row>
    <row r="39" customFormat="false" ht="15" hidden="false" customHeight="fals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67" t="str">
        <f aca="false">IF(A39="","",COUNTIF('RFQ Log'!$H$5:$H$304,A39))</f>
        <v/>
      </c>
      <c r="L39" s="68" t="str">
        <f aca="false">IF(A39="","",SUMIFS('RFQ Log'!$P$5:$P$304,'RFQ Log'!$H$5:$H$304,A39,'RFQ Log'!$R$5:$R$304,"Paid"))</f>
        <v/>
      </c>
      <c r="M39" s="52"/>
    </row>
    <row r="40" customFormat="false" ht="15" hidden="false" customHeight="false" outlineLevel="0" collapsed="false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67" t="str">
        <f aca="false">IF(A40="","",COUNTIF('RFQ Log'!$H$5:$H$304,A40))</f>
        <v/>
      </c>
      <c r="L40" s="68" t="str">
        <f aca="false">IF(A40="","",SUMIFS('RFQ Log'!$P$5:$P$304,'RFQ Log'!$H$5:$H$304,A40,'RFQ Log'!$R$5:$R$304,"Paid"))</f>
        <v/>
      </c>
      <c r="M40" s="52"/>
    </row>
    <row r="41" customFormat="false" ht="15" hidden="false" customHeight="fals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67" t="str">
        <f aca="false">IF(A41="","",COUNTIF('RFQ Log'!$H$5:$H$304,A41))</f>
        <v/>
      </c>
      <c r="L41" s="68" t="str">
        <f aca="false">IF(A41="","",SUMIFS('RFQ Log'!$P$5:$P$304,'RFQ Log'!$H$5:$H$304,A41,'RFQ Log'!$R$5:$R$304,"Paid"))</f>
        <v/>
      </c>
      <c r="M41" s="52"/>
    </row>
    <row r="42" customFormat="false" ht="15" hidden="false" customHeight="fals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67" t="str">
        <f aca="false">IF(A42="","",COUNTIF('RFQ Log'!$H$5:$H$304,A42))</f>
        <v/>
      </c>
      <c r="L42" s="68" t="str">
        <f aca="false">IF(A42="","",SUMIFS('RFQ Log'!$P$5:$P$304,'RFQ Log'!$H$5:$H$304,A42,'RFQ Log'!$R$5:$R$304,"Paid"))</f>
        <v/>
      </c>
      <c r="M42" s="52"/>
    </row>
    <row r="43" customFormat="false" ht="15" hidden="false" customHeight="fals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67" t="str">
        <f aca="false">IF(A43="","",COUNTIF('RFQ Log'!$H$5:$H$304,A43))</f>
        <v/>
      </c>
      <c r="L43" s="68" t="str">
        <f aca="false">IF(A43="","",SUMIFS('RFQ Log'!$P$5:$P$304,'RFQ Log'!$H$5:$H$304,A43,'RFQ Log'!$R$5:$R$304,"Paid"))</f>
        <v/>
      </c>
      <c r="M43" s="52"/>
    </row>
    <row r="44" customFormat="false" ht="15" hidden="false" customHeight="fals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67" t="str">
        <f aca="false">IF(A44="","",COUNTIF('RFQ Log'!$H$5:$H$304,A44))</f>
        <v/>
      </c>
      <c r="L44" s="68" t="str">
        <f aca="false">IF(A44="","",SUMIFS('RFQ Log'!$P$5:$P$304,'RFQ Log'!$H$5:$H$304,A44,'RFQ Log'!$R$5:$R$304,"Paid"))</f>
        <v/>
      </c>
      <c r="M44" s="52"/>
    </row>
    <row r="45" customFormat="false" ht="15" hidden="false" customHeight="fals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67" t="str">
        <f aca="false">IF(A45="","",COUNTIF('RFQ Log'!$H$5:$H$304,A45))</f>
        <v/>
      </c>
      <c r="L45" s="68" t="str">
        <f aca="false">IF(A45="","",SUMIFS('RFQ Log'!$P$5:$P$304,'RFQ Log'!$H$5:$H$304,A45,'RFQ Log'!$R$5:$R$304,"Paid"))</f>
        <v/>
      </c>
      <c r="M45" s="52"/>
    </row>
    <row r="46" customFormat="false" ht="15" hidden="false" customHeight="fals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67" t="str">
        <f aca="false">IF(A46="","",COUNTIF('RFQ Log'!$H$5:$H$304,A46))</f>
        <v/>
      </c>
      <c r="L46" s="68" t="str">
        <f aca="false">IF(A46="","",SUMIFS('RFQ Log'!$P$5:$P$304,'RFQ Log'!$H$5:$H$304,A46,'RFQ Log'!$R$5:$R$304,"Paid"))</f>
        <v/>
      </c>
      <c r="M46" s="52"/>
    </row>
    <row r="47" customFormat="false" ht="15" hidden="false" customHeight="fals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67" t="str">
        <f aca="false">IF(A47="","",COUNTIF('RFQ Log'!$H$5:$H$304,A47))</f>
        <v/>
      </c>
      <c r="L47" s="68" t="str">
        <f aca="false">IF(A47="","",SUMIFS('RFQ Log'!$P$5:$P$304,'RFQ Log'!$H$5:$H$304,A47,'RFQ Log'!$R$5:$R$304,"Paid"))</f>
        <v/>
      </c>
      <c r="M47" s="52"/>
    </row>
    <row r="48" customFormat="false" ht="15" hidden="false" customHeight="fals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67" t="str">
        <f aca="false">IF(A48="","",COUNTIF('RFQ Log'!$H$5:$H$304,A48))</f>
        <v/>
      </c>
      <c r="L48" s="68" t="str">
        <f aca="false">IF(A48="","",SUMIFS('RFQ Log'!$P$5:$P$304,'RFQ Log'!$H$5:$H$304,A48,'RFQ Log'!$R$5:$R$304,"Paid"))</f>
        <v/>
      </c>
      <c r="M48" s="52"/>
    </row>
    <row r="49" customFormat="false" ht="15" hidden="false" customHeight="fals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67" t="str">
        <f aca="false">IF(A49="","",COUNTIF('RFQ Log'!$H$5:$H$304,A49))</f>
        <v/>
      </c>
      <c r="L49" s="68" t="str">
        <f aca="false">IF(A49="","",SUMIFS('RFQ Log'!$P$5:$P$304,'RFQ Log'!$H$5:$H$304,A49,'RFQ Log'!$R$5:$R$304,"Paid"))</f>
        <v/>
      </c>
      <c r="M49" s="52"/>
    </row>
    <row r="50" customFormat="false" ht="15" hidden="false" customHeight="false" outlineLevel="0" collapsed="false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67" t="str">
        <f aca="false">IF(A50="","",COUNTIF('RFQ Log'!$H$5:$H$304,A50))</f>
        <v/>
      </c>
      <c r="L50" s="68" t="str">
        <f aca="false">IF(A50="","",SUMIFS('RFQ Log'!$P$5:$P$304,'RFQ Log'!$H$5:$H$304,A50,'RFQ Log'!$R$5:$R$304,"Paid"))</f>
        <v/>
      </c>
      <c r="M50" s="52"/>
    </row>
    <row r="51" customFormat="false" ht="15" hidden="false" customHeight="fals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67" t="str">
        <f aca="false">IF(A51="","",COUNTIF('RFQ Log'!$H$5:$H$304,A51))</f>
        <v/>
      </c>
      <c r="L51" s="68" t="str">
        <f aca="false">IF(A51="","",SUMIFS('RFQ Log'!$P$5:$P$304,'RFQ Log'!$H$5:$H$304,A51,'RFQ Log'!$R$5:$R$304,"Paid"))</f>
        <v/>
      </c>
      <c r="M51" s="52"/>
    </row>
    <row r="52" customFormat="false" ht="15" hidden="false" customHeight="fals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67" t="str">
        <f aca="false">IF(A52="","",COUNTIF('RFQ Log'!$H$5:$H$304,A52))</f>
        <v/>
      </c>
      <c r="L52" s="68" t="str">
        <f aca="false">IF(A52="","",SUMIFS('RFQ Log'!$P$5:$P$304,'RFQ Log'!$H$5:$H$304,A52,'RFQ Log'!$R$5:$R$304,"Paid"))</f>
        <v/>
      </c>
      <c r="M52" s="52"/>
    </row>
    <row r="53" customFormat="false" ht="15" hidden="false" customHeight="fals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67" t="str">
        <f aca="false">IF(A53="","",COUNTIF('RFQ Log'!$H$5:$H$304,A53))</f>
        <v/>
      </c>
      <c r="L53" s="68" t="str">
        <f aca="false">IF(A53="","",SUMIFS('RFQ Log'!$P$5:$P$304,'RFQ Log'!$H$5:$H$304,A53,'RFQ Log'!$R$5:$R$304,"Paid"))</f>
        <v/>
      </c>
      <c r="M53" s="52"/>
    </row>
    <row r="54" customFormat="false" ht="15" hidden="false" customHeight="false" outlineLevel="0" collapsed="false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67" t="str">
        <f aca="false">IF(A54="","",COUNTIF('RFQ Log'!$H$5:$H$304,A54))</f>
        <v/>
      </c>
      <c r="L54" s="68" t="str">
        <f aca="false">IF(A54="","",SUMIFS('RFQ Log'!$P$5:$P$304,'RFQ Log'!$H$5:$H$304,A54,'RFQ Log'!$R$5:$R$304,"Paid"))</f>
        <v/>
      </c>
      <c r="M54" s="52"/>
    </row>
    <row r="55" customFormat="false" ht="15" hidden="false" customHeight="fals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67" t="str">
        <f aca="false">IF(A55="","",COUNTIF('RFQ Log'!$H$5:$H$304,A55))</f>
        <v/>
      </c>
      <c r="L55" s="68" t="str">
        <f aca="false">IF(A55="","",SUMIFS('RFQ Log'!$P$5:$P$304,'RFQ Log'!$H$5:$H$304,A55,'RFQ Log'!$R$5:$R$304,"Paid"))</f>
        <v/>
      </c>
      <c r="M55" s="52"/>
    </row>
    <row r="56" customFormat="false" ht="15" hidden="false" customHeight="false" outlineLevel="0" collapsed="false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67" t="str">
        <f aca="false">IF(A56="","",COUNTIF('RFQ Log'!$H$5:$H$304,A56))</f>
        <v/>
      </c>
      <c r="L56" s="68" t="str">
        <f aca="false">IF(A56="","",SUMIFS('RFQ Log'!$P$5:$P$304,'RFQ Log'!$H$5:$H$304,A56,'RFQ Log'!$R$5:$R$304,"Paid"))</f>
        <v/>
      </c>
      <c r="M56" s="52"/>
    </row>
    <row r="57" customFormat="false" ht="15" hidden="false" customHeight="fals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67" t="str">
        <f aca="false">IF(A57="","",COUNTIF('RFQ Log'!$H$5:$H$304,A57))</f>
        <v/>
      </c>
      <c r="L57" s="68" t="str">
        <f aca="false">IF(A57="","",SUMIFS('RFQ Log'!$P$5:$P$304,'RFQ Log'!$H$5:$H$304,A57,'RFQ Log'!$R$5:$R$304,"Paid"))</f>
        <v/>
      </c>
      <c r="M57" s="52"/>
    </row>
    <row r="58" customFormat="false" ht="15" hidden="false" customHeight="false" outlineLevel="0" collapsed="false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67" t="str">
        <f aca="false">IF(A58="","",COUNTIF('RFQ Log'!$H$5:$H$304,A58))</f>
        <v/>
      </c>
      <c r="L58" s="68" t="str">
        <f aca="false">IF(A58="","",SUMIFS('RFQ Log'!$P$5:$P$304,'RFQ Log'!$H$5:$H$304,A58,'RFQ Log'!$R$5:$R$304,"Paid"))</f>
        <v/>
      </c>
      <c r="M58" s="52"/>
    </row>
    <row r="59" customFormat="false" ht="15" hidden="false" customHeight="fals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67" t="str">
        <f aca="false">IF(A59="","",COUNTIF('RFQ Log'!$H$5:$H$304,A59))</f>
        <v/>
      </c>
      <c r="L59" s="68" t="str">
        <f aca="false">IF(A59="","",SUMIFS('RFQ Log'!$P$5:$P$304,'RFQ Log'!$H$5:$H$304,A59,'RFQ Log'!$R$5:$R$304,"Paid"))</f>
        <v/>
      </c>
      <c r="M59" s="52"/>
    </row>
    <row r="60" customFormat="false" ht="15" hidden="false" customHeight="false" outlineLevel="0" collapsed="false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67" t="str">
        <f aca="false">IF(A60="","",COUNTIF('RFQ Log'!$H$5:$H$304,A60))</f>
        <v/>
      </c>
      <c r="L60" s="68" t="str">
        <f aca="false">IF(A60="","",SUMIFS('RFQ Log'!$P$5:$P$304,'RFQ Log'!$H$5:$H$304,A60,'RFQ Log'!$R$5:$R$304,"Paid"))</f>
        <v/>
      </c>
      <c r="M60" s="52"/>
    </row>
    <row r="61" customFormat="false" ht="15" hidden="false" customHeight="fals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67" t="str">
        <f aca="false">IF(A61="","",COUNTIF('RFQ Log'!$H$5:$H$304,A61))</f>
        <v/>
      </c>
      <c r="L61" s="68" t="str">
        <f aca="false">IF(A61="","",SUMIFS('RFQ Log'!$P$5:$P$304,'RFQ Log'!$H$5:$H$304,A61,'RFQ Log'!$R$5:$R$304,"Paid"))</f>
        <v/>
      </c>
      <c r="M61" s="52"/>
    </row>
    <row r="62" customFormat="false" ht="15" hidden="false" customHeight="fals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67" t="str">
        <f aca="false">IF(A62="","",COUNTIF('RFQ Log'!$H$5:$H$304,A62))</f>
        <v/>
      </c>
      <c r="L62" s="68" t="str">
        <f aca="false">IF(A62="","",SUMIFS('RFQ Log'!$P$5:$P$304,'RFQ Log'!$H$5:$H$304,A62,'RFQ Log'!$R$5:$R$304,"Paid"))</f>
        <v/>
      </c>
      <c r="M62" s="52"/>
    </row>
    <row r="63" customFormat="false" ht="15" hidden="false" customHeight="fals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67" t="str">
        <f aca="false">IF(A63="","",COUNTIF('RFQ Log'!$H$5:$H$304,A63))</f>
        <v/>
      </c>
      <c r="L63" s="68" t="str">
        <f aca="false">IF(A63="","",SUMIFS('RFQ Log'!$P$5:$P$304,'RFQ Log'!$H$5:$H$304,A63,'RFQ Log'!$R$5:$R$304,"Paid"))</f>
        <v/>
      </c>
      <c r="M63" s="52"/>
    </row>
    <row r="64" customFormat="false" ht="15" hidden="false" customHeight="fals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67" t="str">
        <f aca="false">IF(A64="","",COUNTIF('RFQ Log'!$H$5:$H$304,A64))</f>
        <v/>
      </c>
      <c r="L64" s="68" t="str">
        <f aca="false">IF(A64="","",SUMIFS('RFQ Log'!$P$5:$P$304,'RFQ Log'!$H$5:$H$304,A64,'RFQ Log'!$R$5:$R$304,"Paid"))</f>
        <v/>
      </c>
      <c r="M64" s="52"/>
    </row>
    <row r="65" customFormat="false" ht="15" hidden="false" customHeight="fals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67" t="str">
        <f aca="false">IF(A65="","",COUNTIF('RFQ Log'!$H$5:$H$304,A65))</f>
        <v/>
      </c>
      <c r="L65" s="68" t="str">
        <f aca="false">IF(A65="","",SUMIFS('RFQ Log'!$P$5:$P$304,'RFQ Log'!$H$5:$H$304,A65,'RFQ Log'!$R$5:$R$304,"Paid"))</f>
        <v/>
      </c>
      <c r="M65" s="52"/>
    </row>
    <row r="66" customFormat="false" ht="15" hidden="false" customHeight="fals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67" t="str">
        <f aca="false">IF(A66="","",COUNTIF('RFQ Log'!$H$5:$H$304,A66))</f>
        <v/>
      </c>
      <c r="L66" s="68" t="str">
        <f aca="false">IF(A66="","",SUMIFS('RFQ Log'!$P$5:$P$304,'RFQ Log'!$H$5:$H$304,A66,'RFQ Log'!$R$5:$R$304,"Paid"))</f>
        <v/>
      </c>
      <c r="M66" s="52"/>
    </row>
    <row r="67" customFormat="false" ht="15" hidden="false" customHeight="fals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67" t="str">
        <f aca="false">IF(A67="","",COUNTIF('RFQ Log'!$H$5:$H$304,A67))</f>
        <v/>
      </c>
      <c r="L67" s="68" t="str">
        <f aca="false">IF(A67="","",SUMIFS('RFQ Log'!$P$5:$P$304,'RFQ Log'!$H$5:$H$304,A67,'RFQ Log'!$R$5:$R$304,"Paid"))</f>
        <v/>
      </c>
      <c r="M67" s="52"/>
    </row>
    <row r="68" customFormat="false" ht="15" hidden="false" customHeight="false" outlineLevel="0" collapsed="false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67" t="str">
        <f aca="false">IF(A68="","",COUNTIF('RFQ Log'!$H$5:$H$304,A68))</f>
        <v/>
      </c>
      <c r="L68" s="68" t="str">
        <f aca="false">IF(A68="","",SUMIFS('RFQ Log'!$P$5:$P$304,'RFQ Log'!$H$5:$H$304,A68,'RFQ Log'!$R$5:$R$304,"Paid"))</f>
        <v/>
      </c>
      <c r="M68" s="52"/>
    </row>
    <row r="69" customFormat="false" ht="15" hidden="false" customHeight="fals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67" t="str">
        <f aca="false">IF(A69="","",COUNTIF('RFQ Log'!$H$5:$H$304,A69))</f>
        <v/>
      </c>
      <c r="L69" s="68" t="str">
        <f aca="false">IF(A69="","",SUMIFS('RFQ Log'!$P$5:$P$304,'RFQ Log'!$H$5:$H$304,A69,'RFQ Log'!$R$5:$R$304,"Paid"))</f>
        <v/>
      </c>
      <c r="M69" s="52"/>
    </row>
    <row r="70" customFormat="false" ht="15" hidden="false" customHeight="false" outlineLevel="0" collapsed="false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67" t="str">
        <f aca="false">IF(A70="","",COUNTIF('RFQ Log'!$H$5:$H$304,A70))</f>
        <v/>
      </c>
      <c r="L70" s="68" t="str">
        <f aca="false">IF(A70="","",SUMIFS('RFQ Log'!$P$5:$P$304,'RFQ Log'!$H$5:$H$304,A70,'RFQ Log'!$R$5:$R$304,"Paid"))</f>
        <v/>
      </c>
      <c r="M70" s="52"/>
    </row>
    <row r="71" customFormat="false" ht="15" hidden="false" customHeight="fals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67" t="str">
        <f aca="false">IF(A71="","",COUNTIF('RFQ Log'!$H$5:$H$304,A71))</f>
        <v/>
      </c>
      <c r="L71" s="68" t="str">
        <f aca="false">IF(A71="","",SUMIFS('RFQ Log'!$P$5:$P$304,'RFQ Log'!$H$5:$H$304,A71,'RFQ Log'!$R$5:$R$304,"Paid"))</f>
        <v/>
      </c>
      <c r="M71" s="52"/>
    </row>
    <row r="72" customFormat="false" ht="15" hidden="false" customHeight="fals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67" t="str">
        <f aca="false">IF(A72="","",COUNTIF('RFQ Log'!$H$5:$H$304,A72))</f>
        <v/>
      </c>
      <c r="L72" s="68" t="str">
        <f aca="false">IF(A72="","",SUMIFS('RFQ Log'!$P$5:$P$304,'RFQ Log'!$H$5:$H$304,A72,'RFQ Log'!$R$5:$R$304,"Paid"))</f>
        <v/>
      </c>
      <c r="M72" s="52"/>
    </row>
    <row r="73" customFormat="false" ht="15" hidden="false" customHeight="fals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67" t="str">
        <f aca="false">IF(A73="","",COUNTIF('RFQ Log'!$H$5:$H$304,A73))</f>
        <v/>
      </c>
      <c r="L73" s="68" t="str">
        <f aca="false">IF(A73="","",SUMIFS('RFQ Log'!$P$5:$P$304,'RFQ Log'!$H$5:$H$304,A73,'RFQ Log'!$R$5:$R$304,"Paid"))</f>
        <v/>
      </c>
      <c r="M73" s="52"/>
    </row>
    <row r="74" customFormat="false" ht="15" hidden="false" customHeight="fals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67" t="str">
        <f aca="false">IF(A74="","",COUNTIF('RFQ Log'!$H$5:$H$304,A74))</f>
        <v/>
      </c>
      <c r="L74" s="68" t="str">
        <f aca="false">IF(A74="","",SUMIFS('RFQ Log'!$P$5:$P$304,'RFQ Log'!$H$5:$H$304,A74,'RFQ Log'!$R$5:$R$304,"Paid"))</f>
        <v/>
      </c>
      <c r="M74" s="52"/>
    </row>
    <row r="75" customFormat="false" ht="15" hidden="false" customHeight="fals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67" t="str">
        <f aca="false">IF(A75="","",COUNTIF('RFQ Log'!$H$5:$H$304,A75))</f>
        <v/>
      </c>
      <c r="L75" s="68" t="str">
        <f aca="false">IF(A75="","",SUMIFS('RFQ Log'!$P$5:$P$304,'RFQ Log'!$H$5:$H$304,A75,'RFQ Log'!$R$5:$R$304,"Paid"))</f>
        <v/>
      </c>
      <c r="M75" s="52"/>
    </row>
    <row r="76" customFormat="false" ht="15" hidden="false" customHeight="false" outlineLevel="0" collapsed="false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67" t="str">
        <f aca="false">IF(A76="","",COUNTIF('RFQ Log'!$H$5:$H$304,A76))</f>
        <v/>
      </c>
      <c r="L76" s="68" t="str">
        <f aca="false">IF(A76="","",SUMIFS('RFQ Log'!$P$5:$P$304,'RFQ Log'!$H$5:$H$304,A76,'RFQ Log'!$R$5:$R$304,"Paid"))</f>
        <v/>
      </c>
      <c r="M76" s="52"/>
    </row>
    <row r="77" customFormat="false" ht="15" hidden="false" customHeight="fals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67" t="str">
        <f aca="false">IF(A77="","",COUNTIF('RFQ Log'!$H$5:$H$304,A77))</f>
        <v/>
      </c>
      <c r="L77" s="68" t="str">
        <f aca="false">IF(A77="","",SUMIFS('RFQ Log'!$P$5:$P$304,'RFQ Log'!$H$5:$H$304,A77,'RFQ Log'!$R$5:$R$304,"Paid"))</f>
        <v/>
      </c>
      <c r="M77" s="52"/>
    </row>
    <row r="78" customFormat="false" ht="15" hidden="false" customHeight="fals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67" t="str">
        <f aca="false">IF(A78="","",COUNTIF('RFQ Log'!$H$5:$H$304,A78))</f>
        <v/>
      </c>
      <c r="L78" s="68" t="str">
        <f aca="false">IF(A78="","",SUMIFS('RFQ Log'!$P$5:$P$304,'RFQ Log'!$H$5:$H$304,A78,'RFQ Log'!$R$5:$R$304,"Paid"))</f>
        <v/>
      </c>
      <c r="M78" s="52"/>
    </row>
    <row r="79" customFormat="false" ht="15" hidden="false" customHeight="fals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67" t="str">
        <f aca="false">IF(A79="","",COUNTIF('RFQ Log'!$H$5:$H$304,A79))</f>
        <v/>
      </c>
      <c r="L79" s="68" t="str">
        <f aca="false">IF(A79="","",SUMIFS('RFQ Log'!$P$5:$P$304,'RFQ Log'!$H$5:$H$304,A79,'RFQ Log'!$R$5:$R$304,"Paid"))</f>
        <v/>
      </c>
      <c r="M79" s="52"/>
    </row>
    <row r="80" customFormat="false" ht="15" hidden="false" customHeight="fals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67" t="str">
        <f aca="false">IF(A80="","",COUNTIF('RFQ Log'!$H$5:$H$304,A80))</f>
        <v/>
      </c>
      <c r="L80" s="68" t="str">
        <f aca="false">IF(A80="","",SUMIFS('RFQ Log'!$P$5:$P$304,'RFQ Log'!$H$5:$H$304,A80,'RFQ Log'!$R$5:$R$304,"Paid"))</f>
        <v/>
      </c>
      <c r="M80" s="52"/>
    </row>
    <row r="81" customFormat="false" ht="15" hidden="false" customHeight="fals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67" t="str">
        <f aca="false">IF(A81="","",COUNTIF('RFQ Log'!$H$5:$H$304,A81))</f>
        <v/>
      </c>
      <c r="L81" s="68" t="str">
        <f aca="false">IF(A81="","",SUMIFS('RFQ Log'!$P$5:$P$304,'RFQ Log'!$H$5:$H$304,A81,'RFQ Log'!$R$5:$R$304,"Paid"))</f>
        <v/>
      </c>
      <c r="M81" s="52"/>
    </row>
    <row r="82" customFormat="false" ht="15" hidden="false" customHeight="fals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67" t="str">
        <f aca="false">IF(A82="","",COUNTIF('RFQ Log'!$H$5:$H$304,A82))</f>
        <v/>
      </c>
      <c r="L82" s="68" t="str">
        <f aca="false">IF(A82="","",SUMIFS('RFQ Log'!$P$5:$P$304,'RFQ Log'!$H$5:$H$304,A82,'RFQ Log'!$R$5:$R$304,"Paid"))</f>
        <v/>
      </c>
      <c r="M82" s="52"/>
    </row>
    <row r="83" customFormat="false" ht="15" hidden="false" customHeight="fals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67" t="str">
        <f aca="false">IF(A83="","",COUNTIF('RFQ Log'!$H$5:$H$304,A83))</f>
        <v/>
      </c>
      <c r="L83" s="68" t="str">
        <f aca="false">IF(A83="","",SUMIFS('RFQ Log'!$P$5:$P$304,'RFQ Log'!$H$5:$H$304,A83,'RFQ Log'!$R$5:$R$304,"Paid"))</f>
        <v/>
      </c>
      <c r="M83" s="52"/>
    </row>
    <row r="84" customFormat="false" ht="15" hidden="false" customHeight="false" outlineLevel="0" collapsed="false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67" t="str">
        <f aca="false">IF(A84="","",COUNTIF('RFQ Log'!$H$5:$H$304,A84))</f>
        <v/>
      </c>
      <c r="L84" s="68" t="str">
        <f aca="false">IF(A84="","",SUMIFS('RFQ Log'!$P$5:$P$304,'RFQ Log'!$H$5:$H$304,A84,'RFQ Log'!$R$5:$R$304,"Paid"))</f>
        <v/>
      </c>
      <c r="M84" s="52"/>
    </row>
    <row r="85" customFormat="false" ht="15" hidden="false" customHeight="fals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67" t="str">
        <f aca="false">IF(A85="","",COUNTIF('RFQ Log'!$H$5:$H$304,A85))</f>
        <v/>
      </c>
      <c r="L85" s="68" t="str">
        <f aca="false">IF(A85="","",SUMIFS('RFQ Log'!$P$5:$P$304,'RFQ Log'!$H$5:$H$304,A85,'RFQ Log'!$R$5:$R$304,"Paid"))</f>
        <v/>
      </c>
      <c r="M85" s="52"/>
    </row>
    <row r="86" customFormat="false" ht="15" hidden="false" customHeight="false" outlineLevel="0" collapsed="false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67" t="str">
        <f aca="false">IF(A86="","",COUNTIF('RFQ Log'!$H$5:$H$304,A86))</f>
        <v/>
      </c>
      <c r="L86" s="68" t="str">
        <f aca="false">IF(A86="","",SUMIFS('RFQ Log'!$P$5:$P$304,'RFQ Log'!$H$5:$H$304,A86,'RFQ Log'!$R$5:$R$304,"Paid"))</f>
        <v/>
      </c>
      <c r="M86" s="52"/>
    </row>
    <row r="87" customFormat="false" ht="15" hidden="false" customHeight="fals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67" t="str">
        <f aca="false">IF(A87="","",COUNTIF('RFQ Log'!$H$5:$H$304,A87))</f>
        <v/>
      </c>
      <c r="L87" s="68" t="str">
        <f aca="false">IF(A87="","",SUMIFS('RFQ Log'!$P$5:$P$304,'RFQ Log'!$H$5:$H$304,A87,'RFQ Log'!$R$5:$R$304,"Paid"))</f>
        <v/>
      </c>
      <c r="M87" s="52"/>
    </row>
    <row r="88" customFormat="false" ht="15" hidden="false" customHeight="fals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67" t="str">
        <f aca="false">IF(A88="","",COUNTIF('RFQ Log'!$H$5:$H$304,A88))</f>
        <v/>
      </c>
      <c r="L88" s="68" t="str">
        <f aca="false">IF(A88="","",SUMIFS('RFQ Log'!$P$5:$P$304,'RFQ Log'!$H$5:$H$304,A88,'RFQ Log'!$R$5:$R$304,"Paid"))</f>
        <v/>
      </c>
      <c r="M88" s="52"/>
    </row>
    <row r="89" customFormat="false" ht="15" hidden="false" customHeight="fals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67" t="str">
        <f aca="false">IF(A89="","",COUNTIF('RFQ Log'!$H$5:$H$304,A89))</f>
        <v/>
      </c>
      <c r="L89" s="68" t="str">
        <f aca="false">IF(A89="","",SUMIFS('RFQ Log'!$P$5:$P$304,'RFQ Log'!$H$5:$H$304,A89,'RFQ Log'!$R$5:$R$304,"Paid"))</f>
        <v/>
      </c>
      <c r="M89" s="52"/>
    </row>
    <row r="90" customFormat="false" ht="15" hidden="false" customHeight="fals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67" t="str">
        <f aca="false">IF(A90="","",COUNTIF('RFQ Log'!$H$5:$H$304,A90))</f>
        <v/>
      </c>
      <c r="L90" s="68" t="str">
        <f aca="false">IF(A90="","",SUMIFS('RFQ Log'!$P$5:$P$304,'RFQ Log'!$H$5:$H$304,A90,'RFQ Log'!$R$5:$R$304,"Paid"))</f>
        <v/>
      </c>
      <c r="M90" s="52"/>
    </row>
    <row r="91" customFormat="false" ht="15" hidden="false" customHeight="fals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67" t="str">
        <f aca="false">IF(A91="","",COUNTIF('RFQ Log'!$H$5:$H$304,A91))</f>
        <v/>
      </c>
      <c r="L91" s="68" t="str">
        <f aca="false">IF(A91="","",SUMIFS('RFQ Log'!$P$5:$P$304,'RFQ Log'!$H$5:$H$304,A91,'RFQ Log'!$R$5:$R$304,"Paid"))</f>
        <v/>
      </c>
      <c r="M91" s="52"/>
    </row>
    <row r="92" customFormat="false" ht="15" hidden="false" customHeight="fals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67" t="str">
        <f aca="false">IF(A92="","",COUNTIF('RFQ Log'!$H$5:$H$304,A92))</f>
        <v/>
      </c>
      <c r="L92" s="68" t="str">
        <f aca="false">IF(A92="","",SUMIFS('RFQ Log'!$P$5:$P$304,'RFQ Log'!$H$5:$H$304,A92,'RFQ Log'!$R$5:$R$304,"Paid"))</f>
        <v/>
      </c>
      <c r="M92" s="52"/>
    </row>
    <row r="93" customFormat="false" ht="15" hidden="false" customHeight="fals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67" t="str">
        <f aca="false">IF(A93="","",COUNTIF('RFQ Log'!$H$5:$H$304,A93))</f>
        <v/>
      </c>
      <c r="L93" s="68" t="str">
        <f aca="false">IF(A93="","",SUMIFS('RFQ Log'!$P$5:$P$304,'RFQ Log'!$H$5:$H$304,A93,'RFQ Log'!$R$5:$R$304,"Paid"))</f>
        <v/>
      </c>
      <c r="M93" s="52"/>
    </row>
    <row r="94" customFormat="false" ht="15" hidden="false" customHeight="fals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67" t="str">
        <f aca="false">IF(A94="","",COUNTIF('RFQ Log'!$H$5:$H$304,A94))</f>
        <v/>
      </c>
      <c r="L94" s="68" t="str">
        <f aca="false">IF(A94="","",SUMIFS('RFQ Log'!$P$5:$P$304,'RFQ Log'!$H$5:$H$304,A94,'RFQ Log'!$R$5:$R$304,"Paid"))</f>
        <v/>
      </c>
      <c r="M94" s="52"/>
    </row>
    <row r="95" customFormat="false" ht="15" hidden="false" customHeight="fals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67" t="str">
        <f aca="false">IF(A95="","",COUNTIF('RFQ Log'!$H$5:$H$304,A95))</f>
        <v/>
      </c>
      <c r="L95" s="68" t="str">
        <f aca="false">IF(A95="","",SUMIFS('RFQ Log'!$P$5:$P$304,'RFQ Log'!$H$5:$H$304,A95,'RFQ Log'!$R$5:$R$304,"Paid"))</f>
        <v/>
      </c>
      <c r="M95" s="52"/>
    </row>
    <row r="96" customFormat="false" ht="15" hidden="false" customHeight="fals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67" t="str">
        <f aca="false">IF(A96="","",COUNTIF('RFQ Log'!$H$5:$H$304,A96))</f>
        <v/>
      </c>
      <c r="L96" s="68" t="str">
        <f aca="false">IF(A96="","",SUMIFS('RFQ Log'!$P$5:$P$304,'RFQ Log'!$H$5:$H$304,A96,'RFQ Log'!$R$5:$R$304,"Paid"))</f>
        <v/>
      </c>
      <c r="M96" s="52"/>
    </row>
    <row r="97" customFormat="false" ht="15" hidden="false" customHeight="fals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67" t="str">
        <f aca="false">IF(A97="","",COUNTIF('RFQ Log'!$H$5:$H$304,A97))</f>
        <v/>
      </c>
      <c r="L97" s="68" t="str">
        <f aca="false">IF(A97="","",SUMIFS('RFQ Log'!$P$5:$P$304,'RFQ Log'!$H$5:$H$304,A97,'RFQ Log'!$R$5:$R$304,"Paid"))</f>
        <v/>
      </c>
      <c r="M97" s="52"/>
    </row>
    <row r="98" customFormat="false" ht="15" hidden="false" customHeight="fals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67" t="str">
        <f aca="false">IF(A98="","",COUNTIF('RFQ Log'!$H$5:$H$304,A98))</f>
        <v/>
      </c>
      <c r="L98" s="68" t="str">
        <f aca="false">IF(A98="","",SUMIFS('RFQ Log'!$P$5:$P$304,'RFQ Log'!$H$5:$H$304,A98,'RFQ Log'!$R$5:$R$304,"Paid"))</f>
        <v/>
      </c>
      <c r="M98" s="52"/>
    </row>
    <row r="99" customFormat="false" ht="15" hidden="false" customHeight="fals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67" t="str">
        <f aca="false">IF(A99="","",COUNTIF('RFQ Log'!$H$5:$H$304,A99))</f>
        <v/>
      </c>
      <c r="L99" s="68" t="str">
        <f aca="false">IF(A99="","",SUMIFS('RFQ Log'!$P$5:$P$304,'RFQ Log'!$H$5:$H$304,A99,'RFQ Log'!$R$5:$R$304,"Paid"))</f>
        <v/>
      </c>
      <c r="M99" s="52"/>
    </row>
    <row r="100" customFormat="false" ht="15" hidden="false" customHeight="fals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67" t="str">
        <f aca="false">IF(A100="","",COUNTIF('RFQ Log'!$H$5:$H$304,A100))</f>
        <v/>
      </c>
      <c r="L100" s="68" t="str">
        <f aca="false">IF(A100="","",SUMIFS('RFQ Log'!$P$5:$P$304,'RFQ Log'!$H$5:$H$304,A100,'RFQ Log'!$R$5:$R$304,"Paid"))</f>
        <v/>
      </c>
      <c r="M100" s="52"/>
    </row>
    <row r="101" customFormat="false" ht="15" hidden="false" customHeight="fals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67" t="str">
        <f aca="false">IF(A101="","",COUNTIF('RFQ Log'!$H$5:$H$304,A101))</f>
        <v/>
      </c>
      <c r="L101" s="68" t="str">
        <f aca="false">IF(A101="","",SUMIFS('RFQ Log'!$P$5:$P$304,'RFQ Log'!$H$5:$H$304,A101,'RFQ Log'!$R$5:$R$304,"Paid"))</f>
        <v/>
      </c>
      <c r="M101" s="52"/>
    </row>
    <row r="102" customFormat="false" ht="15" hidden="false" customHeight="fals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67" t="str">
        <f aca="false">IF(A102="","",COUNTIF('RFQ Log'!$H$5:$H$304,A102))</f>
        <v/>
      </c>
      <c r="L102" s="68" t="str">
        <f aca="false">IF(A102="","",SUMIFS('RFQ Log'!$P$5:$P$304,'RFQ Log'!$H$5:$H$304,A102,'RFQ Log'!$R$5:$R$304,"Paid"))</f>
        <v/>
      </c>
      <c r="M102" s="52"/>
    </row>
    <row r="103" customFormat="false" ht="15" hidden="false" customHeight="fals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67" t="str">
        <f aca="false">IF(A103="","",COUNTIF('RFQ Log'!$H$5:$H$304,A103))</f>
        <v/>
      </c>
      <c r="L103" s="68" t="str">
        <f aca="false">IF(A103="","",SUMIFS('RFQ Log'!$P$5:$P$304,'RFQ Log'!$H$5:$H$304,A103,'RFQ Log'!$R$5:$R$304,"Paid"))</f>
        <v/>
      </c>
      <c r="M103" s="52"/>
    </row>
    <row r="104" customFormat="false" ht="15" hidden="false" customHeight="fals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67" t="str">
        <f aca="false">IF(A104="","",COUNTIF('RFQ Log'!$H$5:$H$304,A104))</f>
        <v/>
      </c>
      <c r="L104" s="68" t="str">
        <f aca="false">IF(A104="","",SUMIFS('RFQ Log'!$P$5:$P$304,'RFQ Log'!$H$5:$H$304,A104,'RFQ Log'!$R$5:$R$304,"Paid"))</f>
        <v/>
      </c>
      <c r="M104" s="52"/>
    </row>
    <row r="105" customFormat="false" ht="15" hidden="false" customHeight="fals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67" t="str">
        <f aca="false">IF(A105="","",COUNTIF('RFQ Log'!$H$5:$H$304,A105))</f>
        <v/>
      </c>
      <c r="L105" s="68" t="str">
        <f aca="false">IF(A105="","",SUMIFS('RFQ Log'!$P$5:$P$304,'RFQ Log'!$H$5:$H$304,A105,'RFQ Log'!$R$5:$R$304,"Paid"))</f>
        <v/>
      </c>
      <c r="M105" s="52"/>
    </row>
    <row r="106" customFormat="false" ht="15" hidden="false" customHeight="fals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67" t="str">
        <f aca="false">IF(A106="","",COUNTIF('RFQ Log'!$H$5:$H$304,A106))</f>
        <v/>
      </c>
      <c r="L106" s="68" t="str">
        <f aca="false">IF(A106="","",SUMIFS('RFQ Log'!$P$5:$P$304,'RFQ Log'!$H$5:$H$304,A106,'RFQ Log'!$R$5:$R$304,"Paid"))</f>
        <v/>
      </c>
      <c r="M106" s="52"/>
    </row>
    <row r="107" customFormat="false" ht="15" hidden="false" customHeight="fals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67" t="str">
        <f aca="false">IF(A107="","",COUNTIF('RFQ Log'!$H$5:$H$304,A107))</f>
        <v/>
      </c>
      <c r="L107" s="68" t="str">
        <f aca="false">IF(A107="","",SUMIFS('RFQ Log'!$P$5:$P$304,'RFQ Log'!$H$5:$H$304,A107,'RFQ Log'!$R$5:$R$304,"Paid"))</f>
        <v/>
      </c>
      <c r="M107" s="52"/>
    </row>
    <row r="108" customFormat="false" ht="15" hidden="false" customHeight="fals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67" t="str">
        <f aca="false">IF(A108="","",COUNTIF('RFQ Log'!$H$5:$H$304,A108))</f>
        <v/>
      </c>
      <c r="L108" s="68" t="str">
        <f aca="false">IF(A108="","",SUMIFS('RFQ Log'!$P$5:$P$304,'RFQ Log'!$H$5:$H$304,A108,'RFQ Log'!$R$5:$R$304,"Paid"))</f>
        <v/>
      </c>
      <c r="M108" s="52"/>
    </row>
    <row r="109" customFormat="false" ht="15" hidden="false" customHeight="fals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67" t="str">
        <f aca="false">IF(A109="","",COUNTIF('RFQ Log'!$H$5:$H$304,A109))</f>
        <v/>
      </c>
      <c r="L109" s="68" t="str">
        <f aca="false">IF(A109="","",SUMIFS('RFQ Log'!$P$5:$P$304,'RFQ Log'!$H$5:$H$304,A109,'RFQ Log'!$R$5:$R$304,"Paid"))</f>
        <v/>
      </c>
      <c r="M109" s="52"/>
    </row>
    <row r="110" customFormat="false" ht="15" hidden="false" customHeight="fals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67" t="str">
        <f aca="false">IF(A110="","",COUNTIF('RFQ Log'!$H$5:$H$304,A110))</f>
        <v/>
      </c>
      <c r="L110" s="68" t="str">
        <f aca="false">IF(A110="","",SUMIFS('RFQ Log'!$P$5:$P$304,'RFQ Log'!$H$5:$H$304,A110,'RFQ Log'!$R$5:$R$304,"Paid"))</f>
        <v/>
      </c>
      <c r="M110" s="52"/>
    </row>
    <row r="111" customFormat="false" ht="15" hidden="false" customHeight="fals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67" t="str">
        <f aca="false">IF(A111="","",COUNTIF('RFQ Log'!$H$5:$H$304,A111))</f>
        <v/>
      </c>
      <c r="L111" s="68" t="str">
        <f aca="false">IF(A111="","",SUMIFS('RFQ Log'!$P$5:$P$304,'RFQ Log'!$H$5:$H$304,A111,'RFQ Log'!$R$5:$R$304,"Paid"))</f>
        <v/>
      </c>
      <c r="M111" s="52"/>
    </row>
    <row r="112" customFormat="false" ht="15" hidden="false" customHeight="fals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67" t="str">
        <f aca="false">IF(A112="","",COUNTIF('RFQ Log'!$H$5:$H$304,A112))</f>
        <v/>
      </c>
      <c r="L112" s="68" t="str">
        <f aca="false">IF(A112="","",SUMIFS('RFQ Log'!$P$5:$P$304,'RFQ Log'!$H$5:$H$304,A112,'RFQ Log'!$R$5:$R$304,"Paid"))</f>
        <v/>
      </c>
      <c r="M112" s="52"/>
    </row>
    <row r="113" customFormat="false" ht="15" hidden="false" customHeight="fals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67" t="str">
        <f aca="false">IF(A113="","",COUNTIF('RFQ Log'!$H$5:$H$304,A113))</f>
        <v/>
      </c>
      <c r="L113" s="68" t="str">
        <f aca="false">IF(A113="","",SUMIFS('RFQ Log'!$P$5:$P$304,'RFQ Log'!$H$5:$H$304,A113,'RFQ Log'!$R$5:$R$304,"Paid"))</f>
        <v/>
      </c>
      <c r="M113" s="52"/>
    </row>
    <row r="114" customFormat="false" ht="15" hidden="false" customHeight="fals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67" t="str">
        <f aca="false">IF(A114="","",COUNTIF('RFQ Log'!$H$5:$H$304,A114))</f>
        <v/>
      </c>
      <c r="L114" s="68" t="str">
        <f aca="false">IF(A114="","",SUMIFS('RFQ Log'!$P$5:$P$304,'RFQ Log'!$H$5:$H$304,A114,'RFQ Log'!$R$5:$R$304,"Paid"))</f>
        <v/>
      </c>
      <c r="M114" s="52"/>
    </row>
    <row r="115" customFormat="false" ht="15" hidden="false" customHeight="fals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67" t="str">
        <f aca="false">IF(A115="","",COUNTIF('RFQ Log'!$H$5:$H$304,A115))</f>
        <v/>
      </c>
      <c r="L115" s="68" t="str">
        <f aca="false">IF(A115="","",SUMIFS('RFQ Log'!$P$5:$P$304,'RFQ Log'!$H$5:$H$304,A115,'RFQ Log'!$R$5:$R$304,"Paid"))</f>
        <v/>
      </c>
      <c r="M115" s="52"/>
    </row>
    <row r="116" customFormat="false" ht="15" hidden="false" customHeight="fals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67" t="str">
        <f aca="false">IF(A116="","",COUNTIF('RFQ Log'!$H$5:$H$304,A116))</f>
        <v/>
      </c>
      <c r="L116" s="68" t="str">
        <f aca="false">IF(A116="","",SUMIFS('RFQ Log'!$P$5:$P$304,'RFQ Log'!$H$5:$H$304,A116,'RFQ Log'!$R$5:$R$304,"Paid"))</f>
        <v/>
      </c>
      <c r="M116" s="52"/>
    </row>
    <row r="117" customFormat="false" ht="15" hidden="false" customHeight="fals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67" t="str">
        <f aca="false">IF(A117="","",COUNTIF('RFQ Log'!$H$5:$H$304,A117))</f>
        <v/>
      </c>
      <c r="L117" s="68" t="str">
        <f aca="false">IF(A117="","",SUMIFS('RFQ Log'!$P$5:$P$304,'RFQ Log'!$H$5:$H$304,A117,'RFQ Log'!$R$5:$R$304,"Paid"))</f>
        <v/>
      </c>
      <c r="M117" s="52"/>
    </row>
    <row r="118" customFormat="false" ht="15" hidden="false" customHeight="fals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67" t="str">
        <f aca="false">IF(A118="","",COUNTIF('RFQ Log'!$H$5:$H$304,A118))</f>
        <v/>
      </c>
      <c r="L118" s="68" t="str">
        <f aca="false">IF(A118="","",SUMIFS('RFQ Log'!$P$5:$P$304,'RFQ Log'!$H$5:$H$304,A118,'RFQ Log'!$R$5:$R$304,"Paid"))</f>
        <v/>
      </c>
      <c r="M118" s="52"/>
    </row>
    <row r="119" customFormat="false" ht="15" hidden="false" customHeight="fals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67" t="str">
        <f aca="false">IF(A119="","",COUNTIF('RFQ Log'!$H$5:$H$304,A119))</f>
        <v/>
      </c>
      <c r="L119" s="68" t="str">
        <f aca="false">IF(A119="","",SUMIFS('RFQ Log'!$P$5:$P$304,'RFQ Log'!$H$5:$H$304,A119,'RFQ Log'!$R$5:$R$304,"Paid"))</f>
        <v/>
      </c>
      <c r="M119" s="52"/>
    </row>
    <row r="120" customFormat="false" ht="15" hidden="false" customHeight="fals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67" t="str">
        <f aca="false">IF(A120="","",COUNTIF('RFQ Log'!$H$5:$H$304,A120))</f>
        <v/>
      </c>
      <c r="L120" s="68" t="str">
        <f aca="false">IF(A120="","",SUMIFS('RFQ Log'!$P$5:$P$304,'RFQ Log'!$H$5:$H$304,A120,'RFQ Log'!$R$5:$R$304,"Paid"))</f>
        <v/>
      </c>
      <c r="M120" s="52"/>
    </row>
    <row r="121" customFormat="false" ht="15" hidden="false" customHeight="fals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67" t="str">
        <f aca="false">IF(A121="","",COUNTIF('RFQ Log'!$H$5:$H$304,A121))</f>
        <v/>
      </c>
      <c r="L121" s="68" t="str">
        <f aca="false">IF(A121="","",SUMIFS('RFQ Log'!$P$5:$P$304,'RFQ Log'!$H$5:$H$304,A121,'RFQ Log'!$R$5:$R$304,"Paid"))</f>
        <v/>
      </c>
      <c r="M121" s="52"/>
    </row>
    <row r="122" customFormat="false" ht="15" hidden="false" customHeight="fals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67" t="str">
        <f aca="false">IF(A122="","",COUNTIF('RFQ Log'!$H$5:$H$304,A122))</f>
        <v/>
      </c>
      <c r="L122" s="68" t="str">
        <f aca="false">IF(A122="","",SUMIFS('RFQ Log'!$P$5:$P$304,'RFQ Log'!$H$5:$H$304,A122,'RFQ Log'!$R$5:$R$304,"Paid"))</f>
        <v/>
      </c>
      <c r="M122" s="52"/>
    </row>
    <row r="123" customFormat="false" ht="15" hidden="false" customHeight="fals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67" t="str">
        <f aca="false">IF(A123="","",COUNTIF('RFQ Log'!$H$5:$H$304,A123))</f>
        <v/>
      </c>
      <c r="L123" s="68" t="str">
        <f aca="false">IF(A123="","",SUMIFS('RFQ Log'!$P$5:$P$304,'RFQ Log'!$H$5:$H$304,A123,'RFQ Log'!$R$5:$R$304,"Paid"))</f>
        <v/>
      </c>
      <c r="M123" s="52"/>
    </row>
    <row r="124" customFormat="false" ht="15" hidden="false" customHeight="fals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67" t="str">
        <f aca="false">IF(A124="","",COUNTIF('RFQ Log'!$H$5:$H$304,A124))</f>
        <v/>
      </c>
      <c r="L124" s="68" t="str">
        <f aca="false">IF(A124="","",SUMIFS('RFQ Log'!$P$5:$P$304,'RFQ Log'!$H$5:$H$304,A124,'RFQ Log'!$R$5:$R$304,"Paid"))</f>
        <v/>
      </c>
      <c r="M124" s="52"/>
    </row>
    <row r="125" customFormat="false" ht="15" hidden="false" customHeight="fals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67" t="str">
        <f aca="false">IF(A125="","",COUNTIF('RFQ Log'!$H$5:$H$304,A125))</f>
        <v/>
      </c>
      <c r="L125" s="68" t="str">
        <f aca="false">IF(A125="","",SUMIFS('RFQ Log'!$P$5:$P$304,'RFQ Log'!$H$5:$H$304,A125,'RFQ Log'!$R$5:$R$304,"Paid"))</f>
        <v/>
      </c>
      <c r="M125" s="52"/>
    </row>
    <row r="126" customFormat="false" ht="15" hidden="false" customHeight="fals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67" t="str">
        <f aca="false">IF(A126="","",COUNTIF('RFQ Log'!$H$5:$H$304,A126))</f>
        <v/>
      </c>
      <c r="L126" s="68" t="str">
        <f aca="false">IF(A126="","",SUMIFS('RFQ Log'!$P$5:$P$304,'RFQ Log'!$H$5:$H$304,A126,'RFQ Log'!$R$5:$R$304,"Paid"))</f>
        <v/>
      </c>
      <c r="M126" s="52"/>
    </row>
    <row r="127" customFormat="false" ht="15" hidden="false" customHeight="fals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67" t="str">
        <f aca="false">IF(A127="","",COUNTIF('RFQ Log'!$H$5:$H$304,A127))</f>
        <v/>
      </c>
      <c r="L127" s="68" t="str">
        <f aca="false">IF(A127="","",SUMIFS('RFQ Log'!$P$5:$P$304,'RFQ Log'!$H$5:$H$304,A127,'RFQ Log'!$R$5:$R$304,"Paid"))</f>
        <v/>
      </c>
      <c r="M127" s="52"/>
    </row>
    <row r="128" customFormat="false" ht="15" hidden="false" customHeight="fals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67" t="str">
        <f aca="false">IF(A128="","",COUNTIF('RFQ Log'!$H$5:$H$304,A128))</f>
        <v/>
      </c>
      <c r="L128" s="68" t="str">
        <f aca="false">IF(A128="","",SUMIFS('RFQ Log'!$P$5:$P$304,'RFQ Log'!$H$5:$H$304,A128,'RFQ Log'!$R$5:$R$304,"Paid"))</f>
        <v/>
      </c>
      <c r="M128" s="52"/>
    </row>
    <row r="129" customFormat="false" ht="15" hidden="false" customHeight="fals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67" t="str">
        <f aca="false">IF(A129="","",COUNTIF('RFQ Log'!$H$5:$H$304,A129))</f>
        <v/>
      </c>
      <c r="L129" s="68" t="str">
        <f aca="false">IF(A129="","",SUMIFS('RFQ Log'!$P$5:$P$304,'RFQ Log'!$H$5:$H$304,A129,'RFQ Log'!$R$5:$R$304,"Paid"))</f>
        <v/>
      </c>
      <c r="M129" s="52"/>
    </row>
    <row r="130" customFormat="false" ht="15" hidden="false" customHeight="fals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67" t="str">
        <f aca="false">IF(A130="","",COUNTIF('RFQ Log'!$H$5:$H$304,A130))</f>
        <v/>
      </c>
      <c r="L130" s="68" t="str">
        <f aca="false">IF(A130="","",SUMIFS('RFQ Log'!$P$5:$P$304,'RFQ Log'!$H$5:$H$304,A130,'RFQ Log'!$R$5:$R$304,"Paid"))</f>
        <v/>
      </c>
      <c r="M130" s="52"/>
    </row>
    <row r="131" customFormat="false" ht="15" hidden="false" customHeight="fals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67" t="str">
        <f aca="false">IF(A131="","",COUNTIF('RFQ Log'!$H$5:$H$304,A131))</f>
        <v/>
      </c>
      <c r="L131" s="68" t="str">
        <f aca="false">IF(A131="","",SUMIFS('RFQ Log'!$P$5:$P$304,'RFQ Log'!$H$5:$H$304,A131,'RFQ Log'!$R$5:$R$304,"Paid"))</f>
        <v/>
      </c>
      <c r="M131" s="52"/>
    </row>
    <row r="132" customFormat="false" ht="15" hidden="false" customHeight="fals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67" t="str">
        <f aca="false">IF(A132="","",COUNTIF('RFQ Log'!$H$5:$H$304,A132))</f>
        <v/>
      </c>
      <c r="L132" s="68" t="str">
        <f aca="false">IF(A132="","",SUMIFS('RFQ Log'!$P$5:$P$304,'RFQ Log'!$H$5:$H$304,A132,'RFQ Log'!$R$5:$R$304,"Paid"))</f>
        <v/>
      </c>
      <c r="M132" s="52"/>
    </row>
    <row r="133" customFormat="false" ht="15" hidden="false" customHeight="fals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67" t="str">
        <f aca="false">IF(A133="","",COUNTIF('RFQ Log'!$H$5:$H$304,A133))</f>
        <v/>
      </c>
      <c r="L133" s="68" t="str">
        <f aca="false">IF(A133="","",SUMIFS('RFQ Log'!$P$5:$P$304,'RFQ Log'!$H$5:$H$304,A133,'RFQ Log'!$R$5:$R$304,"Paid"))</f>
        <v/>
      </c>
      <c r="M133" s="52"/>
    </row>
    <row r="134" customFormat="false" ht="15" hidden="false" customHeight="fals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67" t="str">
        <f aca="false">IF(A134="","",COUNTIF('RFQ Log'!$H$5:$H$304,A134))</f>
        <v/>
      </c>
      <c r="L134" s="68" t="str">
        <f aca="false">IF(A134="","",SUMIFS('RFQ Log'!$P$5:$P$304,'RFQ Log'!$H$5:$H$304,A134,'RFQ Log'!$R$5:$R$304,"Paid"))</f>
        <v/>
      </c>
      <c r="M134" s="52"/>
    </row>
    <row r="135" customFormat="false" ht="15" hidden="false" customHeight="fals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67" t="str">
        <f aca="false">IF(A135="","",COUNTIF('RFQ Log'!$H$5:$H$304,A135))</f>
        <v/>
      </c>
      <c r="L135" s="68" t="str">
        <f aca="false">IF(A135="","",SUMIFS('RFQ Log'!$P$5:$P$304,'RFQ Log'!$H$5:$H$304,A135,'RFQ Log'!$R$5:$R$304,"Paid"))</f>
        <v/>
      </c>
      <c r="M135" s="52"/>
    </row>
    <row r="136" customFormat="false" ht="15" hidden="false" customHeight="fals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67" t="str">
        <f aca="false">IF(A136="","",COUNTIF('RFQ Log'!$H$5:$H$304,A136))</f>
        <v/>
      </c>
      <c r="L136" s="68" t="str">
        <f aca="false">IF(A136="","",SUMIFS('RFQ Log'!$P$5:$P$304,'RFQ Log'!$H$5:$H$304,A136,'RFQ Log'!$R$5:$R$304,"Paid"))</f>
        <v/>
      </c>
      <c r="M136" s="52"/>
    </row>
    <row r="137" customFormat="false" ht="15" hidden="false" customHeight="fals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67" t="str">
        <f aca="false">IF(A137="","",COUNTIF('RFQ Log'!$H$5:$H$304,A137))</f>
        <v/>
      </c>
      <c r="L137" s="68" t="str">
        <f aca="false">IF(A137="","",SUMIFS('RFQ Log'!$P$5:$P$304,'RFQ Log'!$H$5:$H$304,A137,'RFQ Log'!$R$5:$R$304,"Paid"))</f>
        <v/>
      </c>
      <c r="M137" s="52"/>
    </row>
    <row r="138" customFormat="false" ht="15" hidden="false" customHeight="fals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67" t="str">
        <f aca="false">IF(A138="","",COUNTIF('RFQ Log'!$H$5:$H$304,A138))</f>
        <v/>
      </c>
      <c r="L138" s="68" t="str">
        <f aca="false">IF(A138="","",SUMIFS('RFQ Log'!$P$5:$P$304,'RFQ Log'!$H$5:$H$304,A138,'RFQ Log'!$R$5:$R$304,"Paid"))</f>
        <v/>
      </c>
      <c r="M138" s="52"/>
    </row>
    <row r="139" customFormat="false" ht="15" hidden="false" customHeight="fals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67" t="str">
        <f aca="false">IF(A139="","",COUNTIF('RFQ Log'!$H$5:$H$304,A139))</f>
        <v/>
      </c>
      <c r="L139" s="68" t="str">
        <f aca="false">IF(A139="","",SUMIFS('RFQ Log'!$P$5:$P$304,'RFQ Log'!$H$5:$H$304,A139,'RFQ Log'!$R$5:$R$304,"Paid"))</f>
        <v/>
      </c>
      <c r="M139" s="52"/>
    </row>
    <row r="140" customFormat="false" ht="15" hidden="false" customHeight="fals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67" t="str">
        <f aca="false">IF(A140="","",COUNTIF('RFQ Log'!$H$5:$H$304,A140))</f>
        <v/>
      </c>
      <c r="L140" s="68" t="str">
        <f aca="false">IF(A140="","",SUMIFS('RFQ Log'!$P$5:$P$304,'RFQ Log'!$H$5:$H$304,A140,'RFQ Log'!$R$5:$R$304,"Paid"))</f>
        <v/>
      </c>
      <c r="M140" s="52"/>
    </row>
    <row r="141" customFormat="false" ht="15" hidden="false" customHeight="fals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67" t="str">
        <f aca="false">IF(A141="","",COUNTIF('RFQ Log'!$H$5:$H$304,A141))</f>
        <v/>
      </c>
      <c r="L141" s="68" t="str">
        <f aca="false">IF(A141="","",SUMIFS('RFQ Log'!$P$5:$P$304,'RFQ Log'!$H$5:$H$304,A141,'RFQ Log'!$R$5:$R$304,"Paid"))</f>
        <v/>
      </c>
      <c r="M141" s="52"/>
    </row>
    <row r="142" customFormat="false" ht="15" hidden="false" customHeight="fals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67" t="str">
        <f aca="false">IF(A142="","",COUNTIF('RFQ Log'!$H$5:$H$304,A142))</f>
        <v/>
      </c>
      <c r="L142" s="68" t="str">
        <f aca="false">IF(A142="","",SUMIFS('RFQ Log'!$P$5:$P$304,'RFQ Log'!$H$5:$H$304,A142,'RFQ Log'!$R$5:$R$304,"Paid"))</f>
        <v/>
      </c>
      <c r="M142" s="52"/>
    </row>
    <row r="143" customFormat="false" ht="15" hidden="false" customHeight="fals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67" t="str">
        <f aca="false">IF(A143="","",COUNTIF('RFQ Log'!$H$5:$H$304,A143))</f>
        <v/>
      </c>
      <c r="L143" s="68" t="str">
        <f aca="false">IF(A143="","",SUMIFS('RFQ Log'!$P$5:$P$304,'RFQ Log'!$H$5:$H$304,A143,'RFQ Log'!$R$5:$R$304,"Paid"))</f>
        <v/>
      </c>
      <c r="M143" s="52"/>
    </row>
    <row r="144" customFormat="false" ht="15" hidden="false" customHeight="fals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67" t="str">
        <f aca="false">IF(A144="","",COUNTIF('RFQ Log'!$H$5:$H$304,A144))</f>
        <v/>
      </c>
      <c r="L144" s="68" t="str">
        <f aca="false">IF(A144="","",SUMIFS('RFQ Log'!$P$5:$P$304,'RFQ Log'!$H$5:$H$304,A144,'RFQ Log'!$R$5:$R$304,"Paid"))</f>
        <v/>
      </c>
      <c r="M144" s="52"/>
    </row>
    <row r="145" customFormat="false" ht="15" hidden="false" customHeight="fals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67" t="str">
        <f aca="false">IF(A145="","",COUNTIF('RFQ Log'!$H$5:$H$304,A145))</f>
        <v/>
      </c>
      <c r="L145" s="68" t="str">
        <f aca="false">IF(A145="","",SUMIFS('RFQ Log'!$P$5:$P$304,'RFQ Log'!$H$5:$H$304,A145,'RFQ Log'!$R$5:$R$304,"Paid"))</f>
        <v/>
      </c>
      <c r="M145" s="52"/>
    </row>
    <row r="146" customFormat="false" ht="15" hidden="false" customHeight="fals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67" t="str">
        <f aca="false">IF(A146="","",COUNTIF('RFQ Log'!$H$5:$H$304,A146))</f>
        <v/>
      </c>
      <c r="L146" s="68" t="str">
        <f aca="false">IF(A146="","",SUMIFS('RFQ Log'!$P$5:$P$304,'RFQ Log'!$H$5:$H$304,A146,'RFQ Log'!$R$5:$R$304,"Paid"))</f>
        <v/>
      </c>
      <c r="M146" s="52"/>
    </row>
    <row r="147" customFormat="false" ht="15" hidden="false" customHeight="fals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67" t="str">
        <f aca="false">IF(A147="","",COUNTIF('RFQ Log'!$H$5:$H$304,A147))</f>
        <v/>
      </c>
      <c r="L147" s="68" t="str">
        <f aca="false">IF(A147="","",SUMIFS('RFQ Log'!$P$5:$P$304,'RFQ Log'!$H$5:$H$304,A147,'RFQ Log'!$R$5:$R$304,"Paid"))</f>
        <v/>
      </c>
      <c r="M147" s="52"/>
    </row>
    <row r="148" customFormat="false" ht="15" hidden="false" customHeight="fals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67" t="str">
        <f aca="false">IF(A148="","",COUNTIF('RFQ Log'!$H$5:$H$304,A148))</f>
        <v/>
      </c>
      <c r="L148" s="68" t="str">
        <f aca="false">IF(A148="","",SUMIFS('RFQ Log'!$P$5:$P$304,'RFQ Log'!$H$5:$H$304,A148,'RFQ Log'!$R$5:$R$304,"Paid"))</f>
        <v/>
      </c>
      <c r="M148" s="52"/>
    </row>
    <row r="149" customFormat="false" ht="15" hidden="false" customHeight="fals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67" t="str">
        <f aca="false">IF(A149="","",COUNTIF('RFQ Log'!$H$5:$H$304,A149))</f>
        <v/>
      </c>
      <c r="L149" s="68" t="str">
        <f aca="false">IF(A149="","",SUMIFS('RFQ Log'!$P$5:$P$304,'RFQ Log'!$H$5:$H$304,A149,'RFQ Log'!$R$5:$R$304,"Paid"))</f>
        <v/>
      </c>
      <c r="M149" s="52"/>
    </row>
    <row r="150" customFormat="false" ht="15" hidden="false" customHeight="fals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67" t="str">
        <f aca="false">IF(A150="","",COUNTIF('RFQ Log'!$H$5:$H$304,A150))</f>
        <v/>
      </c>
      <c r="L150" s="68" t="str">
        <f aca="false">IF(A150="","",SUMIFS('RFQ Log'!$P$5:$P$304,'RFQ Log'!$H$5:$H$304,A150,'RFQ Log'!$R$5:$R$304,"Paid"))</f>
        <v/>
      </c>
      <c r="M150" s="52"/>
    </row>
    <row r="151" customFormat="false" ht="15" hidden="false" customHeight="fals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67" t="str">
        <f aca="false">IF(A151="","",COUNTIF('RFQ Log'!$H$5:$H$304,A151))</f>
        <v/>
      </c>
      <c r="L151" s="68" t="str">
        <f aca="false">IF(A151="","",SUMIFS('RFQ Log'!$P$5:$P$304,'RFQ Log'!$H$5:$H$304,A151,'RFQ Log'!$R$5:$R$304,"Paid"))</f>
        <v/>
      </c>
      <c r="M151" s="52"/>
    </row>
    <row r="152" customFormat="false" ht="15" hidden="false" customHeight="fals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67" t="str">
        <f aca="false">IF(A152="","",COUNTIF('RFQ Log'!$H$5:$H$304,A152))</f>
        <v/>
      </c>
      <c r="L152" s="68" t="str">
        <f aca="false">IF(A152="","",SUMIFS('RFQ Log'!$P$5:$P$304,'RFQ Log'!$H$5:$H$304,A152,'RFQ Log'!$R$5:$R$304,"Paid"))</f>
        <v/>
      </c>
      <c r="M152" s="52"/>
    </row>
    <row r="153" customFormat="false" ht="15" hidden="false" customHeight="fals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67" t="str">
        <f aca="false">IF(A153="","",COUNTIF('RFQ Log'!$H$5:$H$304,A153))</f>
        <v/>
      </c>
      <c r="L153" s="68" t="str">
        <f aca="false">IF(A153="","",SUMIFS('RFQ Log'!$P$5:$P$304,'RFQ Log'!$H$5:$H$304,A153,'RFQ Log'!$R$5:$R$304,"Paid"))</f>
        <v/>
      </c>
      <c r="M153" s="52"/>
    </row>
    <row r="154" customFormat="false" ht="15" hidden="false" customHeight="fals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67" t="str">
        <f aca="false">IF(A154="","",COUNTIF('RFQ Log'!$H$5:$H$304,A154))</f>
        <v/>
      </c>
      <c r="L154" s="68" t="str">
        <f aca="false">IF(A154="","",SUMIFS('RFQ Log'!$P$5:$P$304,'RFQ Log'!$H$5:$H$304,A154,'RFQ Log'!$R$5:$R$304,"Paid"))</f>
        <v/>
      </c>
      <c r="M154" s="52"/>
    </row>
  </sheetData>
  <dataValidations count="2">
    <dataValidation allowBlank="true" errorStyle="stop" operator="between" showDropDown="false" showErrorMessage="false" showInputMessage="false" sqref="I5:I154" type="list">
      <formula1>"Yes,No,Ask"</formula1>
      <formula2>0</formula2>
    </dataValidation>
    <dataValidation allowBlank="true" errorStyle="stop" operator="between" showDropDown="false" showErrorMessage="false" showInputMessage="false" sqref="J5:J15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1" min="10" style="0" width="13"/>
    <col collapsed="false" customWidth="true" hidden="false" outlineLevel="0" max="12" min="12" style="0" width="36"/>
  </cols>
  <sheetData>
    <row r="1" customFormat="false" ht="19.7" hidden="false" customHeight="false" outlineLevel="0" collapsed="false">
      <c r="A1" s="8" t="s">
        <v>236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9" t="s">
        <v>237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31.5" hidden="false" customHeight="true" outlineLevel="0" collapsed="false">
      <c r="A4" s="43" t="s">
        <v>238</v>
      </c>
      <c r="B4" s="43" t="s">
        <v>210</v>
      </c>
      <c r="C4" s="43" t="s">
        <v>211</v>
      </c>
      <c r="D4" s="43" t="s">
        <v>212</v>
      </c>
      <c r="E4" s="43" t="s">
        <v>239</v>
      </c>
      <c r="F4" s="43" t="s">
        <v>240</v>
      </c>
      <c r="G4" s="43" t="s">
        <v>241</v>
      </c>
      <c r="H4" s="43" t="s">
        <v>83</v>
      </c>
      <c r="I4" s="43" t="s">
        <v>242</v>
      </c>
      <c r="J4" s="43" t="s">
        <v>243</v>
      </c>
      <c r="K4" s="43" t="s">
        <v>244</v>
      </c>
      <c r="L4" s="43" t="s">
        <v>197</v>
      </c>
    </row>
    <row r="5" customFormat="false" ht="15" hidden="false" customHeight="false" outlineLevel="0" collapsed="false">
      <c r="A5" s="52" t="s">
        <v>137</v>
      </c>
      <c r="B5" s="52" t="s">
        <v>245</v>
      </c>
      <c r="C5" s="52" t="s">
        <v>246</v>
      </c>
      <c r="D5" s="52" t="s">
        <v>247</v>
      </c>
      <c r="E5" s="52" t="s">
        <v>248</v>
      </c>
      <c r="F5" s="52" t="s">
        <v>249</v>
      </c>
      <c r="G5" s="67" t="n">
        <f aca="false">IF(A5="","",COUNTIF('RFQ Log'!$C$5:$C$304,A5))</f>
        <v>2</v>
      </c>
      <c r="H5" s="67" t="n">
        <f aca="false">IF(A5="","",COUNTIFS('RFQ Log'!$C$5:$C$304,A5,'RFQ Log'!$R$5:$R$304,"Won")+COUNTIFS('RFQ Log'!$C$5:$C$304,A5,'RFQ Log'!$R$5:$R$304,"Ordered")+COUNTIFS('RFQ Log'!$C$5:$C$304,A5,'RFQ Log'!$R$5:$R$304,"Shipped")+COUNTIFS('RFQ Log'!$C$5:$C$304,A5,'RFQ Log'!$R$5:$R$304,"Paid"))</f>
        <v>1</v>
      </c>
      <c r="I5" s="69" t="n">
        <f aca="false">IF(OR(A5="",G5=0),"",H5/G5)</f>
        <v>0.5</v>
      </c>
      <c r="J5" s="68" t="n">
        <f aca="false">IF(A5="","",SUMIFS('RFQ Log'!$O$5:$O$304,'RFQ Log'!$C$5:$C$304,A5,'RFQ Log'!$R$5:$R$304,"Paid"))</f>
        <v>125</v>
      </c>
      <c r="K5" s="68" t="n">
        <f aca="false">IF(A5="","",SUMIFS('RFQ Log'!$P$5:$P$304,'RFQ Log'!$C$5:$C$304,A5,'RFQ Log'!$R$5:$R$304,"Paid"))</f>
        <v>52.05</v>
      </c>
      <c r="L5" s="52" t="s">
        <v>250</v>
      </c>
    </row>
    <row r="6" customFormat="false" ht="15" hidden="false" customHeight="false" outlineLevel="0" collapsed="false">
      <c r="A6" s="52" t="s">
        <v>201</v>
      </c>
      <c r="B6" s="52" t="s">
        <v>251</v>
      </c>
      <c r="C6" s="52" t="s">
        <v>252</v>
      </c>
      <c r="D6" s="52" t="s">
        <v>253</v>
      </c>
      <c r="E6" s="52" t="s">
        <v>254</v>
      </c>
      <c r="F6" s="52" t="s">
        <v>233</v>
      </c>
      <c r="G6" s="67" t="n">
        <f aca="false">IF(A6="","",COUNTIF('RFQ Log'!$C$5:$C$304,A6))</f>
        <v>1</v>
      </c>
      <c r="H6" s="67" t="n">
        <f aca="false">IF(A6="","",COUNTIFS('RFQ Log'!$C$5:$C$304,A6,'RFQ Log'!$R$5:$R$304,"Won")+COUNTIFS('RFQ Log'!$C$5:$C$304,A6,'RFQ Log'!$R$5:$R$304,"Ordered")+COUNTIFS('RFQ Log'!$C$5:$C$304,A6,'RFQ Log'!$R$5:$R$304,"Shipped")+COUNTIFS('RFQ Log'!$C$5:$C$304,A6,'RFQ Log'!$R$5:$R$304,"Paid"))</f>
        <v>1</v>
      </c>
      <c r="I6" s="69" t="n">
        <f aca="false">IF(OR(A6="",G6=0),"",H6/G6)</f>
        <v>1</v>
      </c>
      <c r="J6" s="68" t="n">
        <f aca="false">IF(A6="","",SUMIFS('RFQ Log'!$O$5:$O$304,'RFQ Log'!$C$5:$C$304,A6,'RFQ Log'!$R$5:$R$304,"Paid"))</f>
        <v>0</v>
      </c>
      <c r="K6" s="68" t="n">
        <f aca="false">IF(A6="","",SUMIFS('RFQ Log'!$P$5:$P$304,'RFQ Log'!$C$5:$C$304,A6,'RFQ Log'!$R$5:$R$304,"Paid"))</f>
        <v>0</v>
      </c>
      <c r="L6" s="52" t="s">
        <v>255</v>
      </c>
    </row>
    <row r="7" customFormat="false" ht="15" hidden="false" customHeight="false" outlineLevel="0" collapsed="false">
      <c r="A7" s="52"/>
      <c r="B7" s="52"/>
      <c r="C7" s="52"/>
      <c r="D7" s="52"/>
      <c r="E7" s="52"/>
      <c r="F7" s="52"/>
      <c r="G7" s="67" t="str">
        <f aca="false">IF(A7="","",COUNTIF('RFQ Log'!$C$5:$C$304,A7))</f>
        <v/>
      </c>
      <c r="H7" s="67" t="str">
        <f aca="false">IF(A7="","",COUNTIFS('RFQ Log'!$C$5:$C$304,A7,'RFQ Log'!$R$5:$R$304,"Won")+COUNTIFS('RFQ Log'!$C$5:$C$304,A7,'RFQ Log'!$R$5:$R$304,"Ordered")+COUNTIFS('RFQ Log'!$C$5:$C$304,A7,'RFQ Log'!$R$5:$R$304,"Shipped")+COUNTIFS('RFQ Log'!$C$5:$C$304,A7,'RFQ Log'!$R$5:$R$304,"Paid"))</f>
        <v/>
      </c>
      <c r="I7" s="69" t="str">
        <f aca="false">IF(OR(A7="",G7=0),"",H7/G7)</f>
        <v/>
      </c>
      <c r="J7" s="68" t="str">
        <f aca="false">IF(A7="","",SUMIFS('RFQ Log'!$O$5:$O$304,'RFQ Log'!$C$5:$C$304,A7,'RFQ Log'!$R$5:$R$304,"Paid"))</f>
        <v/>
      </c>
      <c r="K7" s="68" t="str">
        <f aca="false">IF(A7="","",SUMIFS('RFQ Log'!$P$5:$P$304,'RFQ Log'!$C$5:$C$304,A7,'RFQ Log'!$R$5:$R$304,"Paid"))</f>
        <v/>
      </c>
      <c r="L7" s="52"/>
    </row>
    <row r="8" customFormat="false" ht="15" hidden="false" customHeight="false" outlineLevel="0" collapsed="false">
      <c r="A8" s="52"/>
      <c r="B8" s="52"/>
      <c r="C8" s="52"/>
      <c r="D8" s="52"/>
      <c r="E8" s="52"/>
      <c r="F8" s="52"/>
      <c r="G8" s="67" t="str">
        <f aca="false">IF(A8="","",COUNTIF('RFQ Log'!$C$5:$C$304,A8))</f>
        <v/>
      </c>
      <c r="H8" s="67" t="str">
        <f aca="false">IF(A8="","",COUNTIFS('RFQ Log'!$C$5:$C$304,A8,'RFQ Log'!$R$5:$R$304,"Won")+COUNTIFS('RFQ Log'!$C$5:$C$304,A8,'RFQ Log'!$R$5:$R$304,"Ordered")+COUNTIFS('RFQ Log'!$C$5:$C$304,A8,'RFQ Log'!$R$5:$R$304,"Shipped")+COUNTIFS('RFQ Log'!$C$5:$C$304,A8,'RFQ Log'!$R$5:$R$304,"Paid"))</f>
        <v/>
      </c>
      <c r="I8" s="69" t="str">
        <f aca="false">IF(OR(A8="",G8=0),"",H8/G8)</f>
        <v/>
      </c>
      <c r="J8" s="68" t="str">
        <f aca="false">IF(A8="","",SUMIFS('RFQ Log'!$O$5:$O$304,'RFQ Log'!$C$5:$C$304,A8,'RFQ Log'!$R$5:$R$304,"Paid"))</f>
        <v/>
      </c>
      <c r="K8" s="68" t="str">
        <f aca="false">IF(A8="","",SUMIFS('RFQ Log'!$P$5:$P$304,'RFQ Log'!$C$5:$C$304,A8,'RFQ Log'!$R$5:$R$304,"Paid"))</f>
        <v/>
      </c>
      <c r="L8" s="52"/>
    </row>
    <row r="9" customFormat="false" ht="15" hidden="false" customHeight="false" outlineLevel="0" collapsed="false">
      <c r="A9" s="52"/>
      <c r="B9" s="52"/>
      <c r="C9" s="52"/>
      <c r="D9" s="52"/>
      <c r="E9" s="52"/>
      <c r="F9" s="52"/>
      <c r="G9" s="67" t="str">
        <f aca="false">IF(A9="","",COUNTIF('RFQ Log'!$C$5:$C$304,A9))</f>
        <v/>
      </c>
      <c r="H9" s="67" t="str">
        <f aca="false">IF(A9="","",COUNTIFS('RFQ Log'!$C$5:$C$304,A9,'RFQ Log'!$R$5:$R$304,"Won")+COUNTIFS('RFQ Log'!$C$5:$C$304,A9,'RFQ Log'!$R$5:$R$304,"Ordered")+COUNTIFS('RFQ Log'!$C$5:$C$304,A9,'RFQ Log'!$R$5:$R$304,"Shipped")+COUNTIFS('RFQ Log'!$C$5:$C$304,A9,'RFQ Log'!$R$5:$R$304,"Paid"))</f>
        <v/>
      </c>
      <c r="I9" s="69" t="str">
        <f aca="false">IF(OR(A9="",G9=0),"",H9/G9)</f>
        <v/>
      </c>
      <c r="J9" s="68" t="str">
        <f aca="false">IF(A9="","",SUMIFS('RFQ Log'!$O$5:$O$304,'RFQ Log'!$C$5:$C$304,A9,'RFQ Log'!$R$5:$R$304,"Paid"))</f>
        <v/>
      </c>
      <c r="K9" s="68" t="str">
        <f aca="false">IF(A9="","",SUMIFS('RFQ Log'!$P$5:$P$304,'RFQ Log'!$C$5:$C$304,A9,'RFQ Log'!$R$5:$R$304,"Paid"))</f>
        <v/>
      </c>
      <c r="L9" s="52"/>
    </row>
    <row r="10" customFormat="false" ht="15" hidden="false" customHeight="false" outlineLevel="0" collapsed="false">
      <c r="A10" s="52"/>
      <c r="B10" s="52"/>
      <c r="C10" s="52"/>
      <c r="D10" s="52"/>
      <c r="E10" s="52"/>
      <c r="F10" s="52"/>
      <c r="G10" s="67" t="str">
        <f aca="false">IF(A10="","",COUNTIF('RFQ Log'!$C$5:$C$304,A10))</f>
        <v/>
      </c>
      <c r="H10" s="67" t="str">
        <f aca="false">IF(A10="","",COUNTIFS('RFQ Log'!$C$5:$C$304,A10,'RFQ Log'!$R$5:$R$304,"Won")+COUNTIFS('RFQ Log'!$C$5:$C$304,A10,'RFQ Log'!$R$5:$R$304,"Ordered")+COUNTIFS('RFQ Log'!$C$5:$C$304,A10,'RFQ Log'!$R$5:$R$304,"Shipped")+COUNTIFS('RFQ Log'!$C$5:$C$304,A10,'RFQ Log'!$R$5:$R$304,"Paid"))</f>
        <v/>
      </c>
      <c r="I10" s="69" t="str">
        <f aca="false">IF(OR(A10="",G10=0),"",H10/G10)</f>
        <v/>
      </c>
      <c r="J10" s="68" t="str">
        <f aca="false">IF(A10="","",SUMIFS('RFQ Log'!$O$5:$O$304,'RFQ Log'!$C$5:$C$304,A10,'RFQ Log'!$R$5:$R$304,"Paid"))</f>
        <v/>
      </c>
      <c r="K10" s="68" t="str">
        <f aca="false">IF(A10="","",SUMIFS('RFQ Log'!$P$5:$P$304,'RFQ Log'!$C$5:$C$304,A10,'RFQ Log'!$R$5:$R$304,"Paid"))</f>
        <v/>
      </c>
      <c r="L10" s="52"/>
    </row>
    <row r="11" customFormat="false" ht="15" hidden="false" customHeight="false" outlineLevel="0" collapsed="false">
      <c r="A11" s="52"/>
      <c r="B11" s="52"/>
      <c r="C11" s="52"/>
      <c r="D11" s="52"/>
      <c r="E11" s="52"/>
      <c r="F11" s="52"/>
      <c r="G11" s="67" t="str">
        <f aca="false">IF(A11="","",COUNTIF('RFQ Log'!$C$5:$C$304,A11))</f>
        <v/>
      </c>
      <c r="H11" s="67" t="str">
        <f aca="false">IF(A11="","",COUNTIFS('RFQ Log'!$C$5:$C$304,A11,'RFQ Log'!$R$5:$R$304,"Won")+COUNTIFS('RFQ Log'!$C$5:$C$304,A11,'RFQ Log'!$R$5:$R$304,"Ordered")+COUNTIFS('RFQ Log'!$C$5:$C$304,A11,'RFQ Log'!$R$5:$R$304,"Shipped")+COUNTIFS('RFQ Log'!$C$5:$C$304,A11,'RFQ Log'!$R$5:$R$304,"Paid"))</f>
        <v/>
      </c>
      <c r="I11" s="69" t="str">
        <f aca="false">IF(OR(A11="",G11=0),"",H11/G11)</f>
        <v/>
      </c>
      <c r="J11" s="68" t="str">
        <f aca="false">IF(A11="","",SUMIFS('RFQ Log'!$O$5:$O$304,'RFQ Log'!$C$5:$C$304,A11,'RFQ Log'!$R$5:$R$304,"Paid"))</f>
        <v/>
      </c>
      <c r="K11" s="68" t="str">
        <f aca="false">IF(A11="","",SUMIFS('RFQ Log'!$P$5:$P$304,'RFQ Log'!$C$5:$C$304,A11,'RFQ Log'!$R$5:$R$304,"Paid"))</f>
        <v/>
      </c>
      <c r="L11" s="52"/>
    </row>
    <row r="12" customFormat="false" ht="15" hidden="false" customHeight="false" outlineLevel="0" collapsed="false">
      <c r="A12" s="52"/>
      <c r="B12" s="52"/>
      <c r="C12" s="52"/>
      <c r="D12" s="52"/>
      <c r="E12" s="52"/>
      <c r="F12" s="52"/>
      <c r="G12" s="67" t="str">
        <f aca="false">IF(A12="","",COUNTIF('RFQ Log'!$C$5:$C$304,A12))</f>
        <v/>
      </c>
      <c r="H12" s="67" t="str">
        <f aca="false">IF(A12="","",COUNTIFS('RFQ Log'!$C$5:$C$304,A12,'RFQ Log'!$R$5:$R$304,"Won")+COUNTIFS('RFQ Log'!$C$5:$C$304,A12,'RFQ Log'!$R$5:$R$304,"Ordered")+COUNTIFS('RFQ Log'!$C$5:$C$304,A12,'RFQ Log'!$R$5:$R$304,"Shipped")+COUNTIFS('RFQ Log'!$C$5:$C$304,A12,'RFQ Log'!$R$5:$R$304,"Paid"))</f>
        <v/>
      </c>
      <c r="I12" s="69" t="str">
        <f aca="false">IF(OR(A12="",G12=0),"",H12/G12)</f>
        <v/>
      </c>
      <c r="J12" s="68" t="str">
        <f aca="false">IF(A12="","",SUMIFS('RFQ Log'!$O$5:$O$304,'RFQ Log'!$C$5:$C$304,A12,'RFQ Log'!$R$5:$R$304,"Paid"))</f>
        <v/>
      </c>
      <c r="K12" s="68" t="str">
        <f aca="false">IF(A12="","",SUMIFS('RFQ Log'!$P$5:$P$304,'RFQ Log'!$C$5:$C$304,A12,'RFQ Log'!$R$5:$R$304,"Paid"))</f>
        <v/>
      </c>
      <c r="L12" s="52"/>
    </row>
    <row r="13" customFormat="false" ht="15" hidden="false" customHeight="false" outlineLevel="0" collapsed="false">
      <c r="A13" s="52"/>
      <c r="B13" s="52"/>
      <c r="C13" s="52"/>
      <c r="D13" s="52"/>
      <c r="E13" s="52"/>
      <c r="F13" s="52"/>
      <c r="G13" s="67" t="str">
        <f aca="false">IF(A13="","",COUNTIF('RFQ Log'!$C$5:$C$304,A13))</f>
        <v/>
      </c>
      <c r="H13" s="67" t="str">
        <f aca="false">IF(A13="","",COUNTIFS('RFQ Log'!$C$5:$C$304,A13,'RFQ Log'!$R$5:$R$304,"Won")+COUNTIFS('RFQ Log'!$C$5:$C$304,A13,'RFQ Log'!$R$5:$R$304,"Ordered")+COUNTIFS('RFQ Log'!$C$5:$C$304,A13,'RFQ Log'!$R$5:$R$304,"Shipped")+COUNTIFS('RFQ Log'!$C$5:$C$304,A13,'RFQ Log'!$R$5:$R$304,"Paid"))</f>
        <v/>
      </c>
      <c r="I13" s="69" t="str">
        <f aca="false">IF(OR(A13="",G13=0),"",H13/G13)</f>
        <v/>
      </c>
      <c r="J13" s="68" t="str">
        <f aca="false">IF(A13="","",SUMIFS('RFQ Log'!$O$5:$O$304,'RFQ Log'!$C$5:$C$304,A13,'RFQ Log'!$R$5:$R$304,"Paid"))</f>
        <v/>
      </c>
      <c r="K13" s="68" t="str">
        <f aca="false">IF(A13="","",SUMIFS('RFQ Log'!$P$5:$P$304,'RFQ Log'!$C$5:$C$304,A13,'RFQ Log'!$R$5:$R$304,"Paid"))</f>
        <v/>
      </c>
      <c r="L13" s="52"/>
    </row>
    <row r="14" customFormat="false" ht="15" hidden="false" customHeight="false" outlineLevel="0" collapsed="false">
      <c r="A14" s="52"/>
      <c r="B14" s="52"/>
      <c r="C14" s="52"/>
      <c r="D14" s="52"/>
      <c r="E14" s="52"/>
      <c r="F14" s="52"/>
      <c r="G14" s="67" t="str">
        <f aca="false">IF(A14="","",COUNTIF('RFQ Log'!$C$5:$C$304,A14))</f>
        <v/>
      </c>
      <c r="H14" s="67" t="str">
        <f aca="false">IF(A14="","",COUNTIFS('RFQ Log'!$C$5:$C$304,A14,'RFQ Log'!$R$5:$R$304,"Won")+COUNTIFS('RFQ Log'!$C$5:$C$304,A14,'RFQ Log'!$R$5:$R$304,"Ordered")+COUNTIFS('RFQ Log'!$C$5:$C$304,A14,'RFQ Log'!$R$5:$R$304,"Shipped")+COUNTIFS('RFQ Log'!$C$5:$C$304,A14,'RFQ Log'!$R$5:$R$304,"Paid"))</f>
        <v/>
      </c>
      <c r="I14" s="69" t="str">
        <f aca="false">IF(OR(A14="",G14=0),"",H14/G14)</f>
        <v/>
      </c>
      <c r="J14" s="68" t="str">
        <f aca="false">IF(A14="","",SUMIFS('RFQ Log'!$O$5:$O$304,'RFQ Log'!$C$5:$C$304,A14,'RFQ Log'!$R$5:$R$304,"Paid"))</f>
        <v/>
      </c>
      <c r="K14" s="68" t="str">
        <f aca="false">IF(A14="","",SUMIFS('RFQ Log'!$P$5:$P$304,'RFQ Log'!$C$5:$C$304,A14,'RFQ Log'!$R$5:$R$304,"Paid"))</f>
        <v/>
      </c>
      <c r="L14" s="52"/>
    </row>
    <row r="15" customFormat="false" ht="15" hidden="false" customHeight="false" outlineLevel="0" collapsed="false">
      <c r="A15" s="52"/>
      <c r="B15" s="52"/>
      <c r="C15" s="52"/>
      <c r="D15" s="52"/>
      <c r="E15" s="52"/>
      <c r="F15" s="52"/>
      <c r="G15" s="67" t="str">
        <f aca="false">IF(A15="","",COUNTIF('RFQ Log'!$C$5:$C$304,A15))</f>
        <v/>
      </c>
      <c r="H15" s="67" t="str">
        <f aca="false">IF(A15="","",COUNTIFS('RFQ Log'!$C$5:$C$304,A15,'RFQ Log'!$R$5:$R$304,"Won")+COUNTIFS('RFQ Log'!$C$5:$C$304,A15,'RFQ Log'!$R$5:$R$304,"Ordered")+COUNTIFS('RFQ Log'!$C$5:$C$304,A15,'RFQ Log'!$R$5:$R$304,"Shipped")+COUNTIFS('RFQ Log'!$C$5:$C$304,A15,'RFQ Log'!$R$5:$R$304,"Paid"))</f>
        <v/>
      </c>
      <c r="I15" s="69" t="str">
        <f aca="false">IF(OR(A15="",G15=0),"",H15/G15)</f>
        <v/>
      </c>
      <c r="J15" s="68" t="str">
        <f aca="false">IF(A15="","",SUMIFS('RFQ Log'!$O$5:$O$304,'RFQ Log'!$C$5:$C$304,A15,'RFQ Log'!$R$5:$R$304,"Paid"))</f>
        <v/>
      </c>
      <c r="K15" s="68" t="str">
        <f aca="false">IF(A15="","",SUMIFS('RFQ Log'!$P$5:$P$304,'RFQ Log'!$C$5:$C$304,A15,'RFQ Log'!$R$5:$R$304,"Paid"))</f>
        <v/>
      </c>
      <c r="L15" s="52"/>
    </row>
    <row r="16" customFormat="false" ht="15" hidden="false" customHeight="false" outlineLevel="0" collapsed="false">
      <c r="A16" s="52"/>
      <c r="B16" s="52"/>
      <c r="C16" s="52"/>
      <c r="D16" s="52"/>
      <c r="E16" s="52"/>
      <c r="F16" s="52"/>
      <c r="G16" s="67" t="str">
        <f aca="false">IF(A16="","",COUNTIF('RFQ Log'!$C$5:$C$304,A16))</f>
        <v/>
      </c>
      <c r="H16" s="67" t="str">
        <f aca="false">IF(A16="","",COUNTIFS('RFQ Log'!$C$5:$C$304,A16,'RFQ Log'!$R$5:$R$304,"Won")+COUNTIFS('RFQ Log'!$C$5:$C$304,A16,'RFQ Log'!$R$5:$R$304,"Ordered")+COUNTIFS('RFQ Log'!$C$5:$C$304,A16,'RFQ Log'!$R$5:$R$304,"Shipped")+COUNTIFS('RFQ Log'!$C$5:$C$304,A16,'RFQ Log'!$R$5:$R$304,"Paid"))</f>
        <v/>
      </c>
      <c r="I16" s="69" t="str">
        <f aca="false">IF(OR(A16="",G16=0),"",H16/G16)</f>
        <v/>
      </c>
      <c r="J16" s="68" t="str">
        <f aca="false">IF(A16="","",SUMIFS('RFQ Log'!$O$5:$O$304,'RFQ Log'!$C$5:$C$304,A16,'RFQ Log'!$R$5:$R$304,"Paid"))</f>
        <v/>
      </c>
      <c r="K16" s="68" t="str">
        <f aca="false">IF(A16="","",SUMIFS('RFQ Log'!$P$5:$P$304,'RFQ Log'!$C$5:$C$304,A16,'RFQ Log'!$R$5:$R$304,"Paid"))</f>
        <v/>
      </c>
      <c r="L16" s="52"/>
    </row>
    <row r="17" customFormat="false" ht="15" hidden="false" customHeight="false" outlineLevel="0" collapsed="false">
      <c r="A17" s="52"/>
      <c r="B17" s="52"/>
      <c r="C17" s="52"/>
      <c r="D17" s="52"/>
      <c r="E17" s="52"/>
      <c r="F17" s="52"/>
      <c r="G17" s="67" t="str">
        <f aca="false">IF(A17="","",COUNTIF('RFQ Log'!$C$5:$C$304,A17))</f>
        <v/>
      </c>
      <c r="H17" s="67" t="str">
        <f aca="false">IF(A17="","",COUNTIFS('RFQ Log'!$C$5:$C$304,A17,'RFQ Log'!$R$5:$R$304,"Won")+COUNTIFS('RFQ Log'!$C$5:$C$304,A17,'RFQ Log'!$R$5:$R$304,"Ordered")+COUNTIFS('RFQ Log'!$C$5:$C$304,A17,'RFQ Log'!$R$5:$R$304,"Shipped")+COUNTIFS('RFQ Log'!$C$5:$C$304,A17,'RFQ Log'!$R$5:$R$304,"Paid"))</f>
        <v/>
      </c>
      <c r="I17" s="69" t="str">
        <f aca="false">IF(OR(A17="",G17=0),"",H17/G17)</f>
        <v/>
      </c>
      <c r="J17" s="68" t="str">
        <f aca="false">IF(A17="","",SUMIFS('RFQ Log'!$O$5:$O$304,'RFQ Log'!$C$5:$C$304,A17,'RFQ Log'!$R$5:$R$304,"Paid"))</f>
        <v/>
      </c>
      <c r="K17" s="68" t="str">
        <f aca="false">IF(A17="","",SUMIFS('RFQ Log'!$P$5:$P$304,'RFQ Log'!$C$5:$C$304,A17,'RFQ Log'!$R$5:$R$304,"Paid"))</f>
        <v/>
      </c>
      <c r="L17" s="52"/>
    </row>
    <row r="18" customFormat="false" ht="15" hidden="false" customHeight="false" outlineLevel="0" collapsed="false">
      <c r="A18" s="52"/>
      <c r="B18" s="52"/>
      <c r="C18" s="52"/>
      <c r="D18" s="52"/>
      <c r="E18" s="52"/>
      <c r="F18" s="52"/>
      <c r="G18" s="67" t="str">
        <f aca="false">IF(A18="","",COUNTIF('RFQ Log'!$C$5:$C$304,A18))</f>
        <v/>
      </c>
      <c r="H18" s="67" t="str">
        <f aca="false">IF(A18="","",COUNTIFS('RFQ Log'!$C$5:$C$304,A18,'RFQ Log'!$R$5:$R$304,"Won")+COUNTIFS('RFQ Log'!$C$5:$C$304,A18,'RFQ Log'!$R$5:$R$304,"Ordered")+COUNTIFS('RFQ Log'!$C$5:$C$304,A18,'RFQ Log'!$R$5:$R$304,"Shipped")+COUNTIFS('RFQ Log'!$C$5:$C$304,A18,'RFQ Log'!$R$5:$R$304,"Paid"))</f>
        <v/>
      </c>
      <c r="I18" s="69" t="str">
        <f aca="false">IF(OR(A18="",G18=0),"",H18/G18)</f>
        <v/>
      </c>
      <c r="J18" s="68" t="str">
        <f aca="false">IF(A18="","",SUMIFS('RFQ Log'!$O$5:$O$304,'RFQ Log'!$C$5:$C$304,A18,'RFQ Log'!$R$5:$R$304,"Paid"))</f>
        <v/>
      </c>
      <c r="K18" s="68" t="str">
        <f aca="false">IF(A18="","",SUMIFS('RFQ Log'!$P$5:$P$304,'RFQ Log'!$C$5:$C$304,A18,'RFQ Log'!$R$5:$R$304,"Paid"))</f>
        <v/>
      </c>
      <c r="L18" s="52"/>
    </row>
    <row r="19" customFormat="false" ht="15" hidden="false" customHeight="false" outlineLevel="0" collapsed="false">
      <c r="A19" s="52"/>
      <c r="B19" s="52"/>
      <c r="C19" s="52"/>
      <c r="D19" s="52"/>
      <c r="E19" s="52"/>
      <c r="F19" s="52"/>
      <c r="G19" s="67" t="str">
        <f aca="false">IF(A19="","",COUNTIF('RFQ Log'!$C$5:$C$304,A19))</f>
        <v/>
      </c>
      <c r="H19" s="67" t="str">
        <f aca="false">IF(A19="","",COUNTIFS('RFQ Log'!$C$5:$C$304,A19,'RFQ Log'!$R$5:$R$304,"Won")+COUNTIFS('RFQ Log'!$C$5:$C$304,A19,'RFQ Log'!$R$5:$R$304,"Ordered")+COUNTIFS('RFQ Log'!$C$5:$C$304,A19,'RFQ Log'!$R$5:$R$304,"Shipped")+COUNTIFS('RFQ Log'!$C$5:$C$304,A19,'RFQ Log'!$R$5:$R$304,"Paid"))</f>
        <v/>
      </c>
      <c r="I19" s="69" t="str">
        <f aca="false">IF(OR(A19="",G19=0),"",H19/G19)</f>
        <v/>
      </c>
      <c r="J19" s="68" t="str">
        <f aca="false">IF(A19="","",SUMIFS('RFQ Log'!$O$5:$O$304,'RFQ Log'!$C$5:$C$304,A19,'RFQ Log'!$R$5:$R$304,"Paid"))</f>
        <v/>
      </c>
      <c r="K19" s="68" t="str">
        <f aca="false">IF(A19="","",SUMIFS('RFQ Log'!$P$5:$P$304,'RFQ Log'!$C$5:$C$304,A19,'RFQ Log'!$R$5:$R$304,"Paid"))</f>
        <v/>
      </c>
      <c r="L19" s="52"/>
    </row>
    <row r="20" customFormat="false" ht="15" hidden="false" customHeight="false" outlineLevel="0" collapsed="false">
      <c r="A20" s="52"/>
      <c r="B20" s="52"/>
      <c r="C20" s="52"/>
      <c r="D20" s="52"/>
      <c r="E20" s="52"/>
      <c r="F20" s="52"/>
      <c r="G20" s="67" t="str">
        <f aca="false">IF(A20="","",COUNTIF('RFQ Log'!$C$5:$C$304,A20))</f>
        <v/>
      </c>
      <c r="H20" s="67" t="str">
        <f aca="false">IF(A20="","",COUNTIFS('RFQ Log'!$C$5:$C$304,A20,'RFQ Log'!$R$5:$R$304,"Won")+COUNTIFS('RFQ Log'!$C$5:$C$304,A20,'RFQ Log'!$R$5:$R$304,"Ordered")+COUNTIFS('RFQ Log'!$C$5:$C$304,A20,'RFQ Log'!$R$5:$R$304,"Shipped")+COUNTIFS('RFQ Log'!$C$5:$C$304,A20,'RFQ Log'!$R$5:$R$304,"Paid"))</f>
        <v/>
      </c>
      <c r="I20" s="69" t="str">
        <f aca="false">IF(OR(A20="",G20=0),"",H20/G20)</f>
        <v/>
      </c>
      <c r="J20" s="68" t="str">
        <f aca="false">IF(A20="","",SUMIFS('RFQ Log'!$O$5:$O$304,'RFQ Log'!$C$5:$C$304,A20,'RFQ Log'!$R$5:$R$304,"Paid"))</f>
        <v/>
      </c>
      <c r="K20" s="68" t="str">
        <f aca="false">IF(A20="","",SUMIFS('RFQ Log'!$P$5:$P$304,'RFQ Log'!$C$5:$C$304,A20,'RFQ Log'!$R$5:$R$304,"Paid"))</f>
        <v/>
      </c>
      <c r="L20" s="52"/>
    </row>
    <row r="21" customFormat="false" ht="15" hidden="false" customHeight="false" outlineLevel="0" collapsed="false">
      <c r="A21" s="52"/>
      <c r="B21" s="52"/>
      <c r="C21" s="52"/>
      <c r="D21" s="52"/>
      <c r="E21" s="52"/>
      <c r="F21" s="52"/>
      <c r="G21" s="67" t="str">
        <f aca="false">IF(A21="","",COUNTIF('RFQ Log'!$C$5:$C$304,A21))</f>
        <v/>
      </c>
      <c r="H21" s="67" t="str">
        <f aca="false">IF(A21="","",COUNTIFS('RFQ Log'!$C$5:$C$304,A21,'RFQ Log'!$R$5:$R$304,"Won")+COUNTIFS('RFQ Log'!$C$5:$C$304,A21,'RFQ Log'!$R$5:$R$304,"Ordered")+COUNTIFS('RFQ Log'!$C$5:$C$304,A21,'RFQ Log'!$R$5:$R$304,"Shipped")+COUNTIFS('RFQ Log'!$C$5:$C$304,A21,'RFQ Log'!$R$5:$R$304,"Paid"))</f>
        <v/>
      </c>
      <c r="I21" s="69" t="str">
        <f aca="false">IF(OR(A21="",G21=0),"",H21/G21)</f>
        <v/>
      </c>
      <c r="J21" s="68" t="str">
        <f aca="false">IF(A21="","",SUMIFS('RFQ Log'!$O$5:$O$304,'RFQ Log'!$C$5:$C$304,A21,'RFQ Log'!$R$5:$R$304,"Paid"))</f>
        <v/>
      </c>
      <c r="K21" s="68" t="str">
        <f aca="false">IF(A21="","",SUMIFS('RFQ Log'!$P$5:$P$304,'RFQ Log'!$C$5:$C$304,A21,'RFQ Log'!$R$5:$R$304,"Paid"))</f>
        <v/>
      </c>
      <c r="L21" s="52"/>
    </row>
    <row r="22" customFormat="false" ht="15" hidden="false" customHeight="false" outlineLevel="0" collapsed="false">
      <c r="A22" s="52"/>
      <c r="B22" s="52"/>
      <c r="C22" s="52"/>
      <c r="D22" s="52"/>
      <c r="E22" s="52"/>
      <c r="F22" s="52"/>
      <c r="G22" s="67" t="str">
        <f aca="false">IF(A22="","",COUNTIF('RFQ Log'!$C$5:$C$304,A22))</f>
        <v/>
      </c>
      <c r="H22" s="67" t="str">
        <f aca="false">IF(A22="","",COUNTIFS('RFQ Log'!$C$5:$C$304,A22,'RFQ Log'!$R$5:$R$304,"Won")+COUNTIFS('RFQ Log'!$C$5:$C$304,A22,'RFQ Log'!$R$5:$R$304,"Ordered")+COUNTIFS('RFQ Log'!$C$5:$C$304,A22,'RFQ Log'!$R$5:$R$304,"Shipped")+COUNTIFS('RFQ Log'!$C$5:$C$304,A22,'RFQ Log'!$R$5:$R$304,"Paid"))</f>
        <v/>
      </c>
      <c r="I22" s="69" t="str">
        <f aca="false">IF(OR(A22="",G22=0),"",H22/G22)</f>
        <v/>
      </c>
      <c r="J22" s="68" t="str">
        <f aca="false">IF(A22="","",SUMIFS('RFQ Log'!$O$5:$O$304,'RFQ Log'!$C$5:$C$304,A22,'RFQ Log'!$R$5:$R$304,"Paid"))</f>
        <v/>
      </c>
      <c r="K22" s="68" t="str">
        <f aca="false">IF(A22="","",SUMIFS('RFQ Log'!$P$5:$P$304,'RFQ Log'!$C$5:$C$304,A22,'RFQ Log'!$R$5:$R$304,"Paid"))</f>
        <v/>
      </c>
      <c r="L22" s="52"/>
    </row>
    <row r="23" customFormat="false" ht="15" hidden="false" customHeight="false" outlineLevel="0" collapsed="false">
      <c r="A23" s="52"/>
      <c r="B23" s="52"/>
      <c r="C23" s="52"/>
      <c r="D23" s="52"/>
      <c r="E23" s="52"/>
      <c r="F23" s="52"/>
      <c r="G23" s="67" t="str">
        <f aca="false">IF(A23="","",COUNTIF('RFQ Log'!$C$5:$C$304,A23))</f>
        <v/>
      </c>
      <c r="H23" s="67" t="str">
        <f aca="false">IF(A23="","",COUNTIFS('RFQ Log'!$C$5:$C$304,A23,'RFQ Log'!$R$5:$R$304,"Won")+COUNTIFS('RFQ Log'!$C$5:$C$304,A23,'RFQ Log'!$R$5:$R$304,"Ordered")+COUNTIFS('RFQ Log'!$C$5:$C$304,A23,'RFQ Log'!$R$5:$R$304,"Shipped")+COUNTIFS('RFQ Log'!$C$5:$C$304,A23,'RFQ Log'!$R$5:$R$304,"Paid"))</f>
        <v/>
      </c>
      <c r="I23" s="69" t="str">
        <f aca="false">IF(OR(A23="",G23=0),"",H23/G23)</f>
        <v/>
      </c>
      <c r="J23" s="68" t="str">
        <f aca="false">IF(A23="","",SUMIFS('RFQ Log'!$O$5:$O$304,'RFQ Log'!$C$5:$C$304,A23,'RFQ Log'!$R$5:$R$304,"Paid"))</f>
        <v/>
      </c>
      <c r="K23" s="68" t="str">
        <f aca="false">IF(A23="","",SUMIFS('RFQ Log'!$P$5:$P$304,'RFQ Log'!$C$5:$C$304,A23,'RFQ Log'!$R$5:$R$304,"Paid"))</f>
        <v/>
      </c>
      <c r="L23" s="52"/>
    </row>
    <row r="24" customFormat="false" ht="15" hidden="false" customHeight="false" outlineLevel="0" collapsed="false">
      <c r="A24" s="52"/>
      <c r="B24" s="52"/>
      <c r="C24" s="52"/>
      <c r="D24" s="52"/>
      <c r="E24" s="52"/>
      <c r="F24" s="52"/>
      <c r="G24" s="67" t="str">
        <f aca="false">IF(A24="","",COUNTIF('RFQ Log'!$C$5:$C$304,A24))</f>
        <v/>
      </c>
      <c r="H24" s="67" t="str">
        <f aca="false">IF(A24="","",COUNTIFS('RFQ Log'!$C$5:$C$304,A24,'RFQ Log'!$R$5:$R$304,"Won")+COUNTIFS('RFQ Log'!$C$5:$C$304,A24,'RFQ Log'!$R$5:$R$304,"Ordered")+COUNTIFS('RFQ Log'!$C$5:$C$304,A24,'RFQ Log'!$R$5:$R$304,"Shipped")+COUNTIFS('RFQ Log'!$C$5:$C$304,A24,'RFQ Log'!$R$5:$R$304,"Paid"))</f>
        <v/>
      </c>
      <c r="I24" s="69" t="str">
        <f aca="false">IF(OR(A24="",G24=0),"",H24/G24)</f>
        <v/>
      </c>
      <c r="J24" s="68" t="str">
        <f aca="false">IF(A24="","",SUMIFS('RFQ Log'!$O$5:$O$304,'RFQ Log'!$C$5:$C$304,A24,'RFQ Log'!$R$5:$R$304,"Paid"))</f>
        <v/>
      </c>
      <c r="K24" s="68" t="str">
        <f aca="false">IF(A24="","",SUMIFS('RFQ Log'!$P$5:$P$304,'RFQ Log'!$C$5:$C$304,A24,'RFQ Log'!$R$5:$R$304,"Paid"))</f>
        <v/>
      </c>
      <c r="L24" s="52"/>
    </row>
    <row r="25" customFormat="false" ht="15" hidden="false" customHeight="false" outlineLevel="0" collapsed="false">
      <c r="A25" s="52"/>
      <c r="B25" s="52"/>
      <c r="C25" s="52"/>
      <c r="D25" s="52"/>
      <c r="E25" s="52"/>
      <c r="F25" s="52"/>
      <c r="G25" s="67" t="str">
        <f aca="false">IF(A25="","",COUNTIF('RFQ Log'!$C$5:$C$304,A25))</f>
        <v/>
      </c>
      <c r="H25" s="67" t="str">
        <f aca="false">IF(A25="","",COUNTIFS('RFQ Log'!$C$5:$C$304,A25,'RFQ Log'!$R$5:$R$304,"Won")+COUNTIFS('RFQ Log'!$C$5:$C$304,A25,'RFQ Log'!$R$5:$R$304,"Ordered")+COUNTIFS('RFQ Log'!$C$5:$C$304,A25,'RFQ Log'!$R$5:$R$304,"Shipped")+COUNTIFS('RFQ Log'!$C$5:$C$304,A25,'RFQ Log'!$R$5:$R$304,"Paid"))</f>
        <v/>
      </c>
      <c r="I25" s="69" t="str">
        <f aca="false">IF(OR(A25="",G25=0),"",H25/G25)</f>
        <v/>
      </c>
      <c r="J25" s="68" t="str">
        <f aca="false">IF(A25="","",SUMIFS('RFQ Log'!$O$5:$O$304,'RFQ Log'!$C$5:$C$304,A25,'RFQ Log'!$R$5:$R$304,"Paid"))</f>
        <v/>
      </c>
      <c r="K25" s="68" t="str">
        <f aca="false">IF(A25="","",SUMIFS('RFQ Log'!$P$5:$P$304,'RFQ Log'!$C$5:$C$304,A25,'RFQ Log'!$R$5:$R$304,"Paid"))</f>
        <v/>
      </c>
      <c r="L25" s="52"/>
    </row>
    <row r="26" customFormat="false" ht="15" hidden="false" customHeight="false" outlineLevel="0" collapsed="false">
      <c r="A26" s="52"/>
      <c r="B26" s="52"/>
      <c r="C26" s="52"/>
      <c r="D26" s="52"/>
      <c r="E26" s="52"/>
      <c r="F26" s="52"/>
      <c r="G26" s="67" t="str">
        <f aca="false">IF(A26="","",COUNTIF('RFQ Log'!$C$5:$C$304,A26))</f>
        <v/>
      </c>
      <c r="H26" s="67" t="str">
        <f aca="false">IF(A26="","",COUNTIFS('RFQ Log'!$C$5:$C$304,A26,'RFQ Log'!$R$5:$R$304,"Won")+COUNTIFS('RFQ Log'!$C$5:$C$304,A26,'RFQ Log'!$R$5:$R$304,"Ordered")+COUNTIFS('RFQ Log'!$C$5:$C$304,A26,'RFQ Log'!$R$5:$R$304,"Shipped")+COUNTIFS('RFQ Log'!$C$5:$C$304,A26,'RFQ Log'!$R$5:$R$304,"Paid"))</f>
        <v/>
      </c>
      <c r="I26" s="69" t="str">
        <f aca="false">IF(OR(A26="",G26=0),"",H26/G26)</f>
        <v/>
      </c>
      <c r="J26" s="68" t="str">
        <f aca="false">IF(A26="","",SUMIFS('RFQ Log'!$O$5:$O$304,'RFQ Log'!$C$5:$C$304,A26,'RFQ Log'!$R$5:$R$304,"Paid"))</f>
        <v/>
      </c>
      <c r="K26" s="68" t="str">
        <f aca="false">IF(A26="","",SUMIFS('RFQ Log'!$P$5:$P$304,'RFQ Log'!$C$5:$C$304,A26,'RFQ Log'!$R$5:$R$304,"Paid"))</f>
        <v/>
      </c>
      <c r="L26" s="52"/>
    </row>
    <row r="27" customFormat="false" ht="15" hidden="false" customHeight="false" outlineLevel="0" collapsed="false">
      <c r="A27" s="52"/>
      <c r="B27" s="52"/>
      <c r="C27" s="52"/>
      <c r="D27" s="52"/>
      <c r="E27" s="52"/>
      <c r="F27" s="52"/>
      <c r="G27" s="67" t="str">
        <f aca="false">IF(A27="","",COUNTIF('RFQ Log'!$C$5:$C$304,A27))</f>
        <v/>
      </c>
      <c r="H27" s="67" t="str">
        <f aca="false">IF(A27="","",COUNTIFS('RFQ Log'!$C$5:$C$304,A27,'RFQ Log'!$R$5:$R$304,"Won")+COUNTIFS('RFQ Log'!$C$5:$C$304,A27,'RFQ Log'!$R$5:$R$304,"Ordered")+COUNTIFS('RFQ Log'!$C$5:$C$304,A27,'RFQ Log'!$R$5:$R$304,"Shipped")+COUNTIFS('RFQ Log'!$C$5:$C$304,A27,'RFQ Log'!$R$5:$R$304,"Paid"))</f>
        <v/>
      </c>
      <c r="I27" s="69" t="str">
        <f aca="false">IF(OR(A27="",G27=0),"",H27/G27)</f>
        <v/>
      </c>
      <c r="J27" s="68" t="str">
        <f aca="false">IF(A27="","",SUMIFS('RFQ Log'!$O$5:$O$304,'RFQ Log'!$C$5:$C$304,A27,'RFQ Log'!$R$5:$R$304,"Paid"))</f>
        <v/>
      </c>
      <c r="K27" s="68" t="str">
        <f aca="false">IF(A27="","",SUMIFS('RFQ Log'!$P$5:$P$304,'RFQ Log'!$C$5:$C$304,A27,'RFQ Log'!$R$5:$R$304,"Paid"))</f>
        <v/>
      </c>
      <c r="L27" s="52"/>
    </row>
    <row r="28" customFormat="false" ht="15" hidden="false" customHeight="false" outlineLevel="0" collapsed="false">
      <c r="A28" s="52"/>
      <c r="B28" s="52"/>
      <c r="C28" s="52"/>
      <c r="D28" s="52"/>
      <c r="E28" s="52"/>
      <c r="F28" s="52"/>
      <c r="G28" s="67" t="str">
        <f aca="false">IF(A28="","",COUNTIF('RFQ Log'!$C$5:$C$304,A28))</f>
        <v/>
      </c>
      <c r="H28" s="67" t="str">
        <f aca="false">IF(A28="","",COUNTIFS('RFQ Log'!$C$5:$C$304,A28,'RFQ Log'!$R$5:$R$304,"Won")+COUNTIFS('RFQ Log'!$C$5:$C$304,A28,'RFQ Log'!$R$5:$R$304,"Ordered")+COUNTIFS('RFQ Log'!$C$5:$C$304,A28,'RFQ Log'!$R$5:$R$304,"Shipped")+COUNTIFS('RFQ Log'!$C$5:$C$304,A28,'RFQ Log'!$R$5:$R$304,"Paid"))</f>
        <v/>
      </c>
      <c r="I28" s="69" t="str">
        <f aca="false">IF(OR(A28="",G28=0),"",H28/G28)</f>
        <v/>
      </c>
      <c r="J28" s="68" t="str">
        <f aca="false">IF(A28="","",SUMIFS('RFQ Log'!$O$5:$O$304,'RFQ Log'!$C$5:$C$304,A28,'RFQ Log'!$R$5:$R$304,"Paid"))</f>
        <v/>
      </c>
      <c r="K28" s="68" t="str">
        <f aca="false">IF(A28="","",SUMIFS('RFQ Log'!$P$5:$P$304,'RFQ Log'!$C$5:$C$304,A28,'RFQ Log'!$R$5:$R$304,"Paid"))</f>
        <v/>
      </c>
      <c r="L28" s="52"/>
    </row>
    <row r="29" customFormat="false" ht="15" hidden="false" customHeight="false" outlineLevel="0" collapsed="false">
      <c r="A29" s="52"/>
      <c r="B29" s="52"/>
      <c r="C29" s="52"/>
      <c r="D29" s="52"/>
      <c r="E29" s="52"/>
      <c r="F29" s="52"/>
      <c r="G29" s="67" t="str">
        <f aca="false">IF(A29="","",COUNTIF('RFQ Log'!$C$5:$C$304,A29))</f>
        <v/>
      </c>
      <c r="H29" s="67" t="str">
        <f aca="false">IF(A29="","",COUNTIFS('RFQ Log'!$C$5:$C$304,A29,'RFQ Log'!$R$5:$R$304,"Won")+COUNTIFS('RFQ Log'!$C$5:$C$304,A29,'RFQ Log'!$R$5:$R$304,"Ordered")+COUNTIFS('RFQ Log'!$C$5:$C$304,A29,'RFQ Log'!$R$5:$R$304,"Shipped")+COUNTIFS('RFQ Log'!$C$5:$C$304,A29,'RFQ Log'!$R$5:$R$304,"Paid"))</f>
        <v/>
      </c>
      <c r="I29" s="69" t="str">
        <f aca="false">IF(OR(A29="",G29=0),"",H29/G29)</f>
        <v/>
      </c>
      <c r="J29" s="68" t="str">
        <f aca="false">IF(A29="","",SUMIFS('RFQ Log'!$O$5:$O$304,'RFQ Log'!$C$5:$C$304,A29,'RFQ Log'!$R$5:$R$304,"Paid"))</f>
        <v/>
      </c>
      <c r="K29" s="68" t="str">
        <f aca="false">IF(A29="","",SUMIFS('RFQ Log'!$P$5:$P$304,'RFQ Log'!$C$5:$C$304,A29,'RFQ Log'!$R$5:$R$304,"Paid"))</f>
        <v/>
      </c>
      <c r="L29" s="52"/>
    </row>
    <row r="30" customFormat="false" ht="15" hidden="false" customHeight="false" outlineLevel="0" collapsed="false">
      <c r="A30" s="52"/>
      <c r="B30" s="52"/>
      <c r="C30" s="52"/>
      <c r="D30" s="52"/>
      <c r="E30" s="52"/>
      <c r="F30" s="52"/>
      <c r="G30" s="67" t="str">
        <f aca="false">IF(A30="","",COUNTIF('RFQ Log'!$C$5:$C$304,A30))</f>
        <v/>
      </c>
      <c r="H30" s="67" t="str">
        <f aca="false">IF(A30="","",COUNTIFS('RFQ Log'!$C$5:$C$304,A30,'RFQ Log'!$R$5:$R$304,"Won")+COUNTIFS('RFQ Log'!$C$5:$C$304,A30,'RFQ Log'!$R$5:$R$304,"Ordered")+COUNTIFS('RFQ Log'!$C$5:$C$304,A30,'RFQ Log'!$R$5:$R$304,"Shipped")+COUNTIFS('RFQ Log'!$C$5:$C$304,A30,'RFQ Log'!$R$5:$R$304,"Paid"))</f>
        <v/>
      </c>
      <c r="I30" s="69" t="str">
        <f aca="false">IF(OR(A30="",G30=0),"",H30/G30)</f>
        <v/>
      </c>
      <c r="J30" s="68" t="str">
        <f aca="false">IF(A30="","",SUMIFS('RFQ Log'!$O$5:$O$304,'RFQ Log'!$C$5:$C$304,A30,'RFQ Log'!$R$5:$R$304,"Paid"))</f>
        <v/>
      </c>
      <c r="K30" s="68" t="str">
        <f aca="false">IF(A30="","",SUMIFS('RFQ Log'!$P$5:$P$304,'RFQ Log'!$C$5:$C$304,A30,'RFQ Log'!$R$5:$R$304,"Paid"))</f>
        <v/>
      </c>
      <c r="L30" s="52"/>
    </row>
    <row r="31" customFormat="false" ht="15" hidden="false" customHeight="false" outlineLevel="0" collapsed="false">
      <c r="A31" s="52"/>
      <c r="B31" s="52"/>
      <c r="C31" s="52"/>
      <c r="D31" s="52"/>
      <c r="E31" s="52"/>
      <c r="F31" s="52"/>
      <c r="G31" s="67" t="str">
        <f aca="false">IF(A31="","",COUNTIF('RFQ Log'!$C$5:$C$304,A31))</f>
        <v/>
      </c>
      <c r="H31" s="67" t="str">
        <f aca="false">IF(A31="","",COUNTIFS('RFQ Log'!$C$5:$C$304,A31,'RFQ Log'!$R$5:$R$304,"Won")+COUNTIFS('RFQ Log'!$C$5:$C$304,A31,'RFQ Log'!$R$5:$R$304,"Ordered")+COUNTIFS('RFQ Log'!$C$5:$C$304,A31,'RFQ Log'!$R$5:$R$304,"Shipped")+COUNTIFS('RFQ Log'!$C$5:$C$304,A31,'RFQ Log'!$R$5:$R$304,"Paid"))</f>
        <v/>
      </c>
      <c r="I31" s="69" t="str">
        <f aca="false">IF(OR(A31="",G31=0),"",H31/G31)</f>
        <v/>
      </c>
      <c r="J31" s="68" t="str">
        <f aca="false">IF(A31="","",SUMIFS('RFQ Log'!$O$5:$O$304,'RFQ Log'!$C$5:$C$304,A31,'RFQ Log'!$R$5:$R$304,"Paid"))</f>
        <v/>
      </c>
      <c r="K31" s="68" t="str">
        <f aca="false">IF(A31="","",SUMIFS('RFQ Log'!$P$5:$P$304,'RFQ Log'!$C$5:$C$304,A31,'RFQ Log'!$R$5:$R$304,"Paid"))</f>
        <v/>
      </c>
      <c r="L31" s="52"/>
    </row>
    <row r="32" customFormat="false" ht="15" hidden="false" customHeight="false" outlineLevel="0" collapsed="false">
      <c r="A32" s="52"/>
      <c r="B32" s="52"/>
      <c r="C32" s="52"/>
      <c r="D32" s="52"/>
      <c r="E32" s="52"/>
      <c r="F32" s="52"/>
      <c r="G32" s="67" t="str">
        <f aca="false">IF(A32="","",COUNTIF('RFQ Log'!$C$5:$C$304,A32))</f>
        <v/>
      </c>
      <c r="H32" s="67" t="str">
        <f aca="false">IF(A32="","",COUNTIFS('RFQ Log'!$C$5:$C$304,A32,'RFQ Log'!$R$5:$R$304,"Won")+COUNTIFS('RFQ Log'!$C$5:$C$304,A32,'RFQ Log'!$R$5:$R$304,"Ordered")+COUNTIFS('RFQ Log'!$C$5:$C$304,A32,'RFQ Log'!$R$5:$R$304,"Shipped")+COUNTIFS('RFQ Log'!$C$5:$C$304,A32,'RFQ Log'!$R$5:$R$304,"Paid"))</f>
        <v/>
      </c>
      <c r="I32" s="69" t="str">
        <f aca="false">IF(OR(A32="",G32=0),"",H32/G32)</f>
        <v/>
      </c>
      <c r="J32" s="68" t="str">
        <f aca="false">IF(A32="","",SUMIFS('RFQ Log'!$O$5:$O$304,'RFQ Log'!$C$5:$C$304,A32,'RFQ Log'!$R$5:$R$304,"Paid"))</f>
        <v/>
      </c>
      <c r="K32" s="68" t="str">
        <f aca="false">IF(A32="","",SUMIFS('RFQ Log'!$P$5:$P$304,'RFQ Log'!$C$5:$C$304,A32,'RFQ Log'!$R$5:$R$304,"Paid"))</f>
        <v/>
      </c>
      <c r="L32" s="52"/>
    </row>
    <row r="33" customFormat="false" ht="15" hidden="false" customHeight="false" outlineLevel="0" collapsed="false">
      <c r="A33" s="52"/>
      <c r="B33" s="52"/>
      <c r="C33" s="52"/>
      <c r="D33" s="52"/>
      <c r="E33" s="52"/>
      <c r="F33" s="52"/>
      <c r="G33" s="67" t="str">
        <f aca="false">IF(A33="","",COUNTIF('RFQ Log'!$C$5:$C$304,A33))</f>
        <v/>
      </c>
      <c r="H33" s="67" t="str">
        <f aca="false">IF(A33="","",COUNTIFS('RFQ Log'!$C$5:$C$304,A33,'RFQ Log'!$R$5:$R$304,"Won")+COUNTIFS('RFQ Log'!$C$5:$C$304,A33,'RFQ Log'!$R$5:$R$304,"Ordered")+COUNTIFS('RFQ Log'!$C$5:$C$304,A33,'RFQ Log'!$R$5:$R$304,"Shipped")+COUNTIFS('RFQ Log'!$C$5:$C$304,A33,'RFQ Log'!$R$5:$R$304,"Paid"))</f>
        <v/>
      </c>
      <c r="I33" s="69" t="str">
        <f aca="false">IF(OR(A33="",G33=0),"",H33/G33)</f>
        <v/>
      </c>
      <c r="J33" s="68" t="str">
        <f aca="false">IF(A33="","",SUMIFS('RFQ Log'!$O$5:$O$304,'RFQ Log'!$C$5:$C$304,A33,'RFQ Log'!$R$5:$R$304,"Paid"))</f>
        <v/>
      </c>
      <c r="K33" s="68" t="str">
        <f aca="false">IF(A33="","",SUMIFS('RFQ Log'!$P$5:$P$304,'RFQ Log'!$C$5:$C$304,A33,'RFQ Log'!$R$5:$R$304,"Paid"))</f>
        <v/>
      </c>
      <c r="L33" s="52"/>
    </row>
    <row r="34" customFormat="false" ht="15" hidden="false" customHeight="false" outlineLevel="0" collapsed="false">
      <c r="A34" s="52"/>
      <c r="B34" s="52"/>
      <c r="C34" s="52"/>
      <c r="D34" s="52"/>
      <c r="E34" s="52"/>
      <c r="F34" s="52"/>
      <c r="G34" s="67" t="str">
        <f aca="false">IF(A34="","",COUNTIF('RFQ Log'!$C$5:$C$304,A34))</f>
        <v/>
      </c>
      <c r="H34" s="67" t="str">
        <f aca="false">IF(A34="","",COUNTIFS('RFQ Log'!$C$5:$C$304,A34,'RFQ Log'!$R$5:$R$304,"Won")+COUNTIFS('RFQ Log'!$C$5:$C$304,A34,'RFQ Log'!$R$5:$R$304,"Ordered")+COUNTIFS('RFQ Log'!$C$5:$C$304,A34,'RFQ Log'!$R$5:$R$304,"Shipped")+COUNTIFS('RFQ Log'!$C$5:$C$304,A34,'RFQ Log'!$R$5:$R$304,"Paid"))</f>
        <v/>
      </c>
      <c r="I34" s="69" t="str">
        <f aca="false">IF(OR(A34="",G34=0),"",H34/G34)</f>
        <v/>
      </c>
      <c r="J34" s="68" t="str">
        <f aca="false">IF(A34="","",SUMIFS('RFQ Log'!$O$5:$O$304,'RFQ Log'!$C$5:$C$304,A34,'RFQ Log'!$R$5:$R$304,"Paid"))</f>
        <v/>
      </c>
      <c r="K34" s="68" t="str">
        <f aca="false">IF(A34="","",SUMIFS('RFQ Log'!$P$5:$P$304,'RFQ Log'!$C$5:$C$304,A34,'RFQ Log'!$R$5:$R$304,"Paid"))</f>
        <v/>
      </c>
      <c r="L34" s="52"/>
    </row>
    <row r="35" customFormat="false" ht="15" hidden="false" customHeight="false" outlineLevel="0" collapsed="false">
      <c r="A35" s="52"/>
      <c r="B35" s="52"/>
      <c r="C35" s="52"/>
      <c r="D35" s="52"/>
      <c r="E35" s="52"/>
      <c r="F35" s="52"/>
      <c r="G35" s="67" t="str">
        <f aca="false">IF(A35="","",COUNTIF('RFQ Log'!$C$5:$C$304,A35))</f>
        <v/>
      </c>
      <c r="H35" s="67" t="str">
        <f aca="false">IF(A35="","",COUNTIFS('RFQ Log'!$C$5:$C$304,A35,'RFQ Log'!$R$5:$R$304,"Won")+COUNTIFS('RFQ Log'!$C$5:$C$304,A35,'RFQ Log'!$R$5:$R$304,"Ordered")+COUNTIFS('RFQ Log'!$C$5:$C$304,A35,'RFQ Log'!$R$5:$R$304,"Shipped")+COUNTIFS('RFQ Log'!$C$5:$C$304,A35,'RFQ Log'!$R$5:$R$304,"Paid"))</f>
        <v/>
      </c>
      <c r="I35" s="69" t="str">
        <f aca="false">IF(OR(A35="",G35=0),"",H35/G35)</f>
        <v/>
      </c>
      <c r="J35" s="68" t="str">
        <f aca="false">IF(A35="","",SUMIFS('RFQ Log'!$O$5:$O$304,'RFQ Log'!$C$5:$C$304,A35,'RFQ Log'!$R$5:$R$304,"Paid"))</f>
        <v/>
      </c>
      <c r="K35" s="68" t="str">
        <f aca="false">IF(A35="","",SUMIFS('RFQ Log'!$P$5:$P$304,'RFQ Log'!$C$5:$C$304,A35,'RFQ Log'!$R$5:$R$304,"Paid"))</f>
        <v/>
      </c>
      <c r="L35" s="52"/>
    </row>
    <row r="36" customFormat="false" ht="15" hidden="false" customHeight="false" outlineLevel="0" collapsed="false">
      <c r="A36" s="52"/>
      <c r="B36" s="52"/>
      <c r="C36" s="52"/>
      <c r="D36" s="52"/>
      <c r="E36" s="52"/>
      <c r="F36" s="52"/>
      <c r="G36" s="67" t="str">
        <f aca="false">IF(A36="","",COUNTIF('RFQ Log'!$C$5:$C$304,A36))</f>
        <v/>
      </c>
      <c r="H36" s="67" t="str">
        <f aca="false">IF(A36="","",COUNTIFS('RFQ Log'!$C$5:$C$304,A36,'RFQ Log'!$R$5:$R$304,"Won")+COUNTIFS('RFQ Log'!$C$5:$C$304,A36,'RFQ Log'!$R$5:$R$304,"Ordered")+COUNTIFS('RFQ Log'!$C$5:$C$304,A36,'RFQ Log'!$R$5:$R$304,"Shipped")+COUNTIFS('RFQ Log'!$C$5:$C$304,A36,'RFQ Log'!$R$5:$R$304,"Paid"))</f>
        <v/>
      </c>
      <c r="I36" s="69" t="str">
        <f aca="false">IF(OR(A36="",G36=0),"",H36/G36)</f>
        <v/>
      </c>
      <c r="J36" s="68" t="str">
        <f aca="false">IF(A36="","",SUMIFS('RFQ Log'!$O$5:$O$304,'RFQ Log'!$C$5:$C$304,A36,'RFQ Log'!$R$5:$R$304,"Paid"))</f>
        <v/>
      </c>
      <c r="K36" s="68" t="str">
        <f aca="false">IF(A36="","",SUMIFS('RFQ Log'!$P$5:$P$304,'RFQ Log'!$C$5:$C$304,A36,'RFQ Log'!$R$5:$R$304,"Paid"))</f>
        <v/>
      </c>
      <c r="L36" s="52"/>
    </row>
    <row r="37" customFormat="false" ht="15" hidden="false" customHeight="false" outlineLevel="0" collapsed="false">
      <c r="A37" s="52"/>
      <c r="B37" s="52"/>
      <c r="C37" s="52"/>
      <c r="D37" s="52"/>
      <c r="E37" s="52"/>
      <c r="F37" s="52"/>
      <c r="G37" s="67" t="str">
        <f aca="false">IF(A37="","",COUNTIF('RFQ Log'!$C$5:$C$304,A37))</f>
        <v/>
      </c>
      <c r="H37" s="67" t="str">
        <f aca="false">IF(A37="","",COUNTIFS('RFQ Log'!$C$5:$C$304,A37,'RFQ Log'!$R$5:$R$304,"Won")+COUNTIFS('RFQ Log'!$C$5:$C$304,A37,'RFQ Log'!$R$5:$R$304,"Ordered")+COUNTIFS('RFQ Log'!$C$5:$C$304,A37,'RFQ Log'!$R$5:$R$304,"Shipped")+COUNTIFS('RFQ Log'!$C$5:$C$304,A37,'RFQ Log'!$R$5:$R$304,"Paid"))</f>
        <v/>
      </c>
      <c r="I37" s="69" t="str">
        <f aca="false">IF(OR(A37="",G37=0),"",H37/G37)</f>
        <v/>
      </c>
      <c r="J37" s="68" t="str">
        <f aca="false">IF(A37="","",SUMIFS('RFQ Log'!$O$5:$O$304,'RFQ Log'!$C$5:$C$304,A37,'RFQ Log'!$R$5:$R$304,"Paid"))</f>
        <v/>
      </c>
      <c r="K37" s="68" t="str">
        <f aca="false">IF(A37="","",SUMIFS('RFQ Log'!$P$5:$P$304,'RFQ Log'!$C$5:$C$304,A37,'RFQ Log'!$R$5:$R$304,"Paid"))</f>
        <v/>
      </c>
      <c r="L37" s="52"/>
    </row>
    <row r="38" customFormat="false" ht="15" hidden="false" customHeight="false" outlineLevel="0" collapsed="false">
      <c r="A38" s="52"/>
      <c r="B38" s="52"/>
      <c r="C38" s="52"/>
      <c r="D38" s="52"/>
      <c r="E38" s="52"/>
      <c r="F38" s="52"/>
      <c r="G38" s="67" t="str">
        <f aca="false">IF(A38="","",COUNTIF('RFQ Log'!$C$5:$C$304,A38))</f>
        <v/>
      </c>
      <c r="H38" s="67" t="str">
        <f aca="false">IF(A38="","",COUNTIFS('RFQ Log'!$C$5:$C$304,A38,'RFQ Log'!$R$5:$R$304,"Won")+COUNTIFS('RFQ Log'!$C$5:$C$304,A38,'RFQ Log'!$R$5:$R$304,"Ordered")+COUNTIFS('RFQ Log'!$C$5:$C$304,A38,'RFQ Log'!$R$5:$R$304,"Shipped")+COUNTIFS('RFQ Log'!$C$5:$C$304,A38,'RFQ Log'!$R$5:$R$304,"Paid"))</f>
        <v/>
      </c>
      <c r="I38" s="69" t="str">
        <f aca="false">IF(OR(A38="",G38=0),"",H38/G38)</f>
        <v/>
      </c>
      <c r="J38" s="68" t="str">
        <f aca="false">IF(A38="","",SUMIFS('RFQ Log'!$O$5:$O$304,'RFQ Log'!$C$5:$C$304,A38,'RFQ Log'!$R$5:$R$304,"Paid"))</f>
        <v/>
      </c>
      <c r="K38" s="68" t="str">
        <f aca="false">IF(A38="","",SUMIFS('RFQ Log'!$P$5:$P$304,'RFQ Log'!$C$5:$C$304,A38,'RFQ Log'!$R$5:$R$304,"Paid"))</f>
        <v/>
      </c>
      <c r="L38" s="52"/>
    </row>
    <row r="39" customFormat="false" ht="15" hidden="false" customHeight="false" outlineLevel="0" collapsed="false">
      <c r="A39" s="52"/>
      <c r="B39" s="52"/>
      <c r="C39" s="52"/>
      <c r="D39" s="52"/>
      <c r="E39" s="52"/>
      <c r="F39" s="52"/>
      <c r="G39" s="67" t="str">
        <f aca="false">IF(A39="","",COUNTIF('RFQ Log'!$C$5:$C$304,A39))</f>
        <v/>
      </c>
      <c r="H39" s="67" t="str">
        <f aca="false">IF(A39="","",COUNTIFS('RFQ Log'!$C$5:$C$304,A39,'RFQ Log'!$R$5:$R$304,"Won")+COUNTIFS('RFQ Log'!$C$5:$C$304,A39,'RFQ Log'!$R$5:$R$304,"Ordered")+COUNTIFS('RFQ Log'!$C$5:$C$304,A39,'RFQ Log'!$R$5:$R$304,"Shipped")+COUNTIFS('RFQ Log'!$C$5:$C$304,A39,'RFQ Log'!$R$5:$R$304,"Paid"))</f>
        <v/>
      </c>
      <c r="I39" s="69" t="str">
        <f aca="false">IF(OR(A39="",G39=0),"",H39/G39)</f>
        <v/>
      </c>
      <c r="J39" s="68" t="str">
        <f aca="false">IF(A39="","",SUMIFS('RFQ Log'!$O$5:$O$304,'RFQ Log'!$C$5:$C$304,A39,'RFQ Log'!$R$5:$R$304,"Paid"))</f>
        <v/>
      </c>
      <c r="K39" s="68" t="str">
        <f aca="false">IF(A39="","",SUMIFS('RFQ Log'!$P$5:$P$304,'RFQ Log'!$C$5:$C$304,A39,'RFQ Log'!$R$5:$R$304,"Paid"))</f>
        <v/>
      </c>
      <c r="L39" s="52"/>
    </row>
    <row r="40" customFormat="false" ht="15" hidden="false" customHeight="false" outlineLevel="0" collapsed="false">
      <c r="A40" s="52"/>
      <c r="B40" s="52"/>
      <c r="C40" s="52"/>
      <c r="D40" s="52"/>
      <c r="E40" s="52"/>
      <c r="F40" s="52"/>
      <c r="G40" s="67" t="str">
        <f aca="false">IF(A40="","",COUNTIF('RFQ Log'!$C$5:$C$304,A40))</f>
        <v/>
      </c>
      <c r="H40" s="67" t="str">
        <f aca="false">IF(A40="","",COUNTIFS('RFQ Log'!$C$5:$C$304,A40,'RFQ Log'!$R$5:$R$304,"Won")+COUNTIFS('RFQ Log'!$C$5:$C$304,A40,'RFQ Log'!$R$5:$R$304,"Ordered")+COUNTIFS('RFQ Log'!$C$5:$C$304,A40,'RFQ Log'!$R$5:$R$304,"Shipped")+COUNTIFS('RFQ Log'!$C$5:$C$304,A40,'RFQ Log'!$R$5:$R$304,"Paid"))</f>
        <v/>
      </c>
      <c r="I40" s="69" t="str">
        <f aca="false">IF(OR(A40="",G40=0),"",H40/G40)</f>
        <v/>
      </c>
      <c r="J40" s="68" t="str">
        <f aca="false">IF(A40="","",SUMIFS('RFQ Log'!$O$5:$O$304,'RFQ Log'!$C$5:$C$304,A40,'RFQ Log'!$R$5:$R$304,"Paid"))</f>
        <v/>
      </c>
      <c r="K40" s="68" t="str">
        <f aca="false">IF(A40="","",SUMIFS('RFQ Log'!$P$5:$P$304,'RFQ Log'!$C$5:$C$304,A40,'RFQ Log'!$R$5:$R$304,"Paid"))</f>
        <v/>
      </c>
      <c r="L40" s="52"/>
    </row>
    <row r="41" customFormat="false" ht="15" hidden="false" customHeight="false" outlineLevel="0" collapsed="false">
      <c r="A41" s="52"/>
      <c r="B41" s="52"/>
      <c r="C41" s="52"/>
      <c r="D41" s="52"/>
      <c r="E41" s="52"/>
      <c r="F41" s="52"/>
      <c r="G41" s="67" t="str">
        <f aca="false">IF(A41="","",COUNTIF('RFQ Log'!$C$5:$C$304,A41))</f>
        <v/>
      </c>
      <c r="H41" s="67" t="str">
        <f aca="false">IF(A41="","",COUNTIFS('RFQ Log'!$C$5:$C$304,A41,'RFQ Log'!$R$5:$R$304,"Won")+COUNTIFS('RFQ Log'!$C$5:$C$304,A41,'RFQ Log'!$R$5:$R$304,"Ordered")+COUNTIFS('RFQ Log'!$C$5:$C$304,A41,'RFQ Log'!$R$5:$R$304,"Shipped")+COUNTIFS('RFQ Log'!$C$5:$C$304,A41,'RFQ Log'!$R$5:$R$304,"Paid"))</f>
        <v/>
      </c>
      <c r="I41" s="69" t="str">
        <f aca="false">IF(OR(A41="",G41=0),"",H41/G41)</f>
        <v/>
      </c>
      <c r="J41" s="68" t="str">
        <f aca="false">IF(A41="","",SUMIFS('RFQ Log'!$O$5:$O$304,'RFQ Log'!$C$5:$C$304,A41,'RFQ Log'!$R$5:$R$304,"Paid"))</f>
        <v/>
      </c>
      <c r="K41" s="68" t="str">
        <f aca="false">IF(A41="","",SUMIFS('RFQ Log'!$P$5:$P$304,'RFQ Log'!$C$5:$C$304,A41,'RFQ Log'!$R$5:$R$304,"Paid"))</f>
        <v/>
      </c>
      <c r="L41" s="52"/>
    </row>
    <row r="42" customFormat="false" ht="15" hidden="false" customHeight="false" outlineLevel="0" collapsed="false">
      <c r="A42" s="52"/>
      <c r="B42" s="52"/>
      <c r="C42" s="52"/>
      <c r="D42" s="52"/>
      <c r="E42" s="52"/>
      <c r="F42" s="52"/>
      <c r="G42" s="67" t="str">
        <f aca="false">IF(A42="","",COUNTIF('RFQ Log'!$C$5:$C$304,A42))</f>
        <v/>
      </c>
      <c r="H42" s="67" t="str">
        <f aca="false">IF(A42="","",COUNTIFS('RFQ Log'!$C$5:$C$304,A42,'RFQ Log'!$R$5:$R$304,"Won")+COUNTIFS('RFQ Log'!$C$5:$C$304,A42,'RFQ Log'!$R$5:$R$304,"Ordered")+COUNTIFS('RFQ Log'!$C$5:$C$304,A42,'RFQ Log'!$R$5:$R$304,"Shipped")+COUNTIFS('RFQ Log'!$C$5:$C$304,A42,'RFQ Log'!$R$5:$R$304,"Paid"))</f>
        <v/>
      </c>
      <c r="I42" s="69" t="str">
        <f aca="false">IF(OR(A42="",G42=0),"",H42/G42)</f>
        <v/>
      </c>
      <c r="J42" s="68" t="str">
        <f aca="false">IF(A42="","",SUMIFS('RFQ Log'!$O$5:$O$304,'RFQ Log'!$C$5:$C$304,A42,'RFQ Log'!$R$5:$R$304,"Paid"))</f>
        <v/>
      </c>
      <c r="K42" s="68" t="str">
        <f aca="false">IF(A42="","",SUMIFS('RFQ Log'!$P$5:$P$304,'RFQ Log'!$C$5:$C$304,A42,'RFQ Log'!$R$5:$R$304,"Paid"))</f>
        <v/>
      </c>
      <c r="L42" s="52"/>
    </row>
    <row r="43" customFormat="false" ht="15" hidden="false" customHeight="false" outlineLevel="0" collapsed="false">
      <c r="A43" s="52"/>
      <c r="B43" s="52"/>
      <c r="C43" s="52"/>
      <c r="D43" s="52"/>
      <c r="E43" s="52"/>
      <c r="F43" s="52"/>
      <c r="G43" s="67" t="str">
        <f aca="false">IF(A43="","",COUNTIF('RFQ Log'!$C$5:$C$304,A43))</f>
        <v/>
      </c>
      <c r="H43" s="67" t="str">
        <f aca="false">IF(A43="","",COUNTIFS('RFQ Log'!$C$5:$C$304,A43,'RFQ Log'!$R$5:$R$304,"Won")+COUNTIFS('RFQ Log'!$C$5:$C$304,A43,'RFQ Log'!$R$5:$R$304,"Ordered")+COUNTIFS('RFQ Log'!$C$5:$C$304,A43,'RFQ Log'!$R$5:$R$304,"Shipped")+COUNTIFS('RFQ Log'!$C$5:$C$304,A43,'RFQ Log'!$R$5:$R$304,"Paid"))</f>
        <v/>
      </c>
      <c r="I43" s="69" t="str">
        <f aca="false">IF(OR(A43="",G43=0),"",H43/G43)</f>
        <v/>
      </c>
      <c r="J43" s="68" t="str">
        <f aca="false">IF(A43="","",SUMIFS('RFQ Log'!$O$5:$O$304,'RFQ Log'!$C$5:$C$304,A43,'RFQ Log'!$R$5:$R$304,"Paid"))</f>
        <v/>
      </c>
      <c r="K43" s="68" t="str">
        <f aca="false">IF(A43="","",SUMIFS('RFQ Log'!$P$5:$P$304,'RFQ Log'!$C$5:$C$304,A43,'RFQ Log'!$R$5:$R$304,"Paid"))</f>
        <v/>
      </c>
      <c r="L43" s="52"/>
    </row>
    <row r="44" customFormat="false" ht="15" hidden="false" customHeight="false" outlineLevel="0" collapsed="false">
      <c r="A44" s="52"/>
      <c r="B44" s="52"/>
      <c r="C44" s="52"/>
      <c r="D44" s="52"/>
      <c r="E44" s="52"/>
      <c r="F44" s="52"/>
      <c r="G44" s="67" t="str">
        <f aca="false">IF(A44="","",COUNTIF('RFQ Log'!$C$5:$C$304,A44))</f>
        <v/>
      </c>
      <c r="H44" s="67" t="str">
        <f aca="false">IF(A44="","",COUNTIFS('RFQ Log'!$C$5:$C$304,A44,'RFQ Log'!$R$5:$R$304,"Won")+COUNTIFS('RFQ Log'!$C$5:$C$304,A44,'RFQ Log'!$R$5:$R$304,"Ordered")+COUNTIFS('RFQ Log'!$C$5:$C$304,A44,'RFQ Log'!$R$5:$R$304,"Shipped")+COUNTIFS('RFQ Log'!$C$5:$C$304,A44,'RFQ Log'!$R$5:$R$304,"Paid"))</f>
        <v/>
      </c>
      <c r="I44" s="69" t="str">
        <f aca="false">IF(OR(A44="",G44=0),"",H44/G44)</f>
        <v/>
      </c>
      <c r="J44" s="68" t="str">
        <f aca="false">IF(A44="","",SUMIFS('RFQ Log'!$O$5:$O$304,'RFQ Log'!$C$5:$C$304,A44,'RFQ Log'!$R$5:$R$304,"Paid"))</f>
        <v/>
      </c>
      <c r="K44" s="68" t="str">
        <f aca="false">IF(A44="","",SUMIFS('RFQ Log'!$P$5:$P$304,'RFQ Log'!$C$5:$C$304,A44,'RFQ Log'!$R$5:$R$304,"Paid"))</f>
        <v/>
      </c>
      <c r="L44" s="52"/>
    </row>
    <row r="45" customFormat="false" ht="15" hidden="false" customHeight="false" outlineLevel="0" collapsed="false">
      <c r="A45" s="52"/>
      <c r="B45" s="52"/>
      <c r="C45" s="52"/>
      <c r="D45" s="52"/>
      <c r="E45" s="52"/>
      <c r="F45" s="52"/>
      <c r="G45" s="67" t="str">
        <f aca="false">IF(A45="","",COUNTIF('RFQ Log'!$C$5:$C$304,A45))</f>
        <v/>
      </c>
      <c r="H45" s="67" t="str">
        <f aca="false">IF(A45="","",COUNTIFS('RFQ Log'!$C$5:$C$304,A45,'RFQ Log'!$R$5:$R$304,"Won")+COUNTIFS('RFQ Log'!$C$5:$C$304,A45,'RFQ Log'!$R$5:$R$304,"Ordered")+COUNTIFS('RFQ Log'!$C$5:$C$304,A45,'RFQ Log'!$R$5:$R$304,"Shipped")+COUNTIFS('RFQ Log'!$C$5:$C$304,A45,'RFQ Log'!$R$5:$R$304,"Paid"))</f>
        <v/>
      </c>
      <c r="I45" s="69" t="str">
        <f aca="false">IF(OR(A45="",G45=0),"",H45/G45)</f>
        <v/>
      </c>
      <c r="J45" s="68" t="str">
        <f aca="false">IF(A45="","",SUMIFS('RFQ Log'!$O$5:$O$304,'RFQ Log'!$C$5:$C$304,A45,'RFQ Log'!$R$5:$R$304,"Paid"))</f>
        <v/>
      </c>
      <c r="K45" s="68" t="str">
        <f aca="false">IF(A45="","",SUMIFS('RFQ Log'!$P$5:$P$304,'RFQ Log'!$C$5:$C$304,A45,'RFQ Log'!$R$5:$R$304,"Paid"))</f>
        <v/>
      </c>
      <c r="L45" s="52"/>
    </row>
    <row r="46" customFormat="false" ht="15" hidden="false" customHeight="false" outlineLevel="0" collapsed="false">
      <c r="A46" s="52"/>
      <c r="B46" s="52"/>
      <c r="C46" s="52"/>
      <c r="D46" s="52"/>
      <c r="E46" s="52"/>
      <c r="F46" s="52"/>
      <c r="G46" s="67" t="str">
        <f aca="false">IF(A46="","",COUNTIF('RFQ Log'!$C$5:$C$304,A46))</f>
        <v/>
      </c>
      <c r="H46" s="67" t="str">
        <f aca="false">IF(A46="","",COUNTIFS('RFQ Log'!$C$5:$C$304,A46,'RFQ Log'!$R$5:$R$304,"Won")+COUNTIFS('RFQ Log'!$C$5:$C$304,A46,'RFQ Log'!$R$5:$R$304,"Ordered")+COUNTIFS('RFQ Log'!$C$5:$C$304,A46,'RFQ Log'!$R$5:$R$304,"Shipped")+COUNTIFS('RFQ Log'!$C$5:$C$304,A46,'RFQ Log'!$R$5:$R$304,"Paid"))</f>
        <v/>
      </c>
      <c r="I46" s="69" t="str">
        <f aca="false">IF(OR(A46="",G46=0),"",H46/G46)</f>
        <v/>
      </c>
      <c r="J46" s="68" t="str">
        <f aca="false">IF(A46="","",SUMIFS('RFQ Log'!$O$5:$O$304,'RFQ Log'!$C$5:$C$304,A46,'RFQ Log'!$R$5:$R$304,"Paid"))</f>
        <v/>
      </c>
      <c r="K46" s="68" t="str">
        <f aca="false">IF(A46="","",SUMIFS('RFQ Log'!$P$5:$P$304,'RFQ Log'!$C$5:$C$304,A46,'RFQ Log'!$R$5:$R$304,"Paid"))</f>
        <v/>
      </c>
      <c r="L46" s="52"/>
    </row>
    <row r="47" customFormat="false" ht="15" hidden="false" customHeight="false" outlineLevel="0" collapsed="false">
      <c r="A47" s="52"/>
      <c r="B47" s="52"/>
      <c r="C47" s="52"/>
      <c r="D47" s="52"/>
      <c r="E47" s="52"/>
      <c r="F47" s="52"/>
      <c r="G47" s="67" t="str">
        <f aca="false">IF(A47="","",COUNTIF('RFQ Log'!$C$5:$C$304,A47))</f>
        <v/>
      </c>
      <c r="H47" s="67" t="str">
        <f aca="false">IF(A47="","",COUNTIFS('RFQ Log'!$C$5:$C$304,A47,'RFQ Log'!$R$5:$R$304,"Won")+COUNTIFS('RFQ Log'!$C$5:$C$304,A47,'RFQ Log'!$R$5:$R$304,"Ordered")+COUNTIFS('RFQ Log'!$C$5:$C$304,A47,'RFQ Log'!$R$5:$R$304,"Shipped")+COUNTIFS('RFQ Log'!$C$5:$C$304,A47,'RFQ Log'!$R$5:$R$304,"Paid"))</f>
        <v/>
      </c>
      <c r="I47" s="69" t="str">
        <f aca="false">IF(OR(A47="",G47=0),"",H47/G47)</f>
        <v/>
      </c>
      <c r="J47" s="68" t="str">
        <f aca="false">IF(A47="","",SUMIFS('RFQ Log'!$O$5:$O$304,'RFQ Log'!$C$5:$C$304,A47,'RFQ Log'!$R$5:$R$304,"Paid"))</f>
        <v/>
      </c>
      <c r="K47" s="68" t="str">
        <f aca="false">IF(A47="","",SUMIFS('RFQ Log'!$P$5:$P$304,'RFQ Log'!$C$5:$C$304,A47,'RFQ Log'!$R$5:$R$304,"Paid"))</f>
        <v/>
      </c>
      <c r="L47" s="52"/>
    </row>
    <row r="48" customFormat="false" ht="15" hidden="false" customHeight="false" outlineLevel="0" collapsed="false">
      <c r="A48" s="52"/>
      <c r="B48" s="52"/>
      <c r="C48" s="52"/>
      <c r="D48" s="52"/>
      <c r="E48" s="52"/>
      <c r="F48" s="52"/>
      <c r="G48" s="67" t="str">
        <f aca="false">IF(A48="","",COUNTIF('RFQ Log'!$C$5:$C$304,A48))</f>
        <v/>
      </c>
      <c r="H48" s="67" t="str">
        <f aca="false">IF(A48="","",COUNTIFS('RFQ Log'!$C$5:$C$304,A48,'RFQ Log'!$R$5:$R$304,"Won")+COUNTIFS('RFQ Log'!$C$5:$C$304,A48,'RFQ Log'!$R$5:$R$304,"Ordered")+COUNTIFS('RFQ Log'!$C$5:$C$304,A48,'RFQ Log'!$R$5:$R$304,"Shipped")+COUNTIFS('RFQ Log'!$C$5:$C$304,A48,'RFQ Log'!$R$5:$R$304,"Paid"))</f>
        <v/>
      </c>
      <c r="I48" s="69" t="str">
        <f aca="false">IF(OR(A48="",G48=0),"",H48/G48)</f>
        <v/>
      </c>
      <c r="J48" s="68" t="str">
        <f aca="false">IF(A48="","",SUMIFS('RFQ Log'!$O$5:$O$304,'RFQ Log'!$C$5:$C$304,A48,'RFQ Log'!$R$5:$R$304,"Paid"))</f>
        <v/>
      </c>
      <c r="K48" s="68" t="str">
        <f aca="false">IF(A48="","",SUMIFS('RFQ Log'!$P$5:$P$304,'RFQ Log'!$C$5:$C$304,A48,'RFQ Log'!$R$5:$R$304,"Paid"))</f>
        <v/>
      </c>
      <c r="L48" s="52"/>
    </row>
    <row r="49" customFormat="false" ht="15" hidden="false" customHeight="false" outlineLevel="0" collapsed="false">
      <c r="A49" s="52"/>
      <c r="B49" s="52"/>
      <c r="C49" s="52"/>
      <c r="D49" s="52"/>
      <c r="E49" s="52"/>
      <c r="F49" s="52"/>
      <c r="G49" s="67" t="str">
        <f aca="false">IF(A49="","",COUNTIF('RFQ Log'!$C$5:$C$304,A49))</f>
        <v/>
      </c>
      <c r="H49" s="67" t="str">
        <f aca="false">IF(A49="","",COUNTIFS('RFQ Log'!$C$5:$C$304,A49,'RFQ Log'!$R$5:$R$304,"Won")+COUNTIFS('RFQ Log'!$C$5:$C$304,A49,'RFQ Log'!$R$5:$R$304,"Ordered")+COUNTIFS('RFQ Log'!$C$5:$C$304,A49,'RFQ Log'!$R$5:$R$304,"Shipped")+COUNTIFS('RFQ Log'!$C$5:$C$304,A49,'RFQ Log'!$R$5:$R$304,"Paid"))</f>
        <v/>
      </c>
      <c r="I49" s="69" t="str">
        <f aca="false">IF(OR(A49="",G49=0),"",H49/G49)</f>
        <v/>
      </c>
      <c r="J49" s="68" t="str">
        <f aca="false">IF(A49="","",SUMIFS('RFQ Log'!$O$5:$O$304,'RFQ Log'!$C$5:$C$304,A49,'RFQ Log'!$R$5:$R$304,"Paid"))</f>
        <v/>
      </c>
      <c r="K49" s="68" t="str">
        <f aca="false">IF(A49="","",SUMIFS('RFQ Log'!$P$5:$P$304,'RFQ Log'!$C$5:$C$304,A49,'RFQ Log'!$R$5:$R$304,"Paid"))</f>
        <v/>
      </c>
      <c r="L49" s="52"/>
    </row>
    <row r="50" customFormat="false" ht="15" hidden="false" customHeight="false" outlineLevel="0" collapsed="false">
      <c r="A50" s="52"/>
      <c r="B50" s="52"/>
      <c r="C50" s="52"/>
      <c r="D50" s="52"/>
      <c r="E50" s="52"/>
      <c r="F50" s="52"/>
      <c r="G50" s="67" t="str">
        <f aca="false">IF(A50="","",COUNTIF('RFQ Log'!$C$5:$C$304,A50))</f>
        <v/>
      </c>
      <c r="H50" s="67" t="str">
        <f aca="false">IF(A50="","",COUNTIFS('RFQ Log'!$C$5:$C$304,A50,'RFQ Log'!$R$5:$R$304,"Won")+COUNTIFS('RFQ Log'!$C$5:$C$304,A50,'RFQ Log'!$R$5:$R$304,"Ordered")+COUNTIFS('RFQ Log'!$C$5:$C$304,A50,'RFQ Log'!$R$5:$R$304,"Shipped")+COUNTIFS('RFQ Log'!$C$5:$C$304,A50,'RFQ Log'!$R$5:$R$304,"Paid"))</f>
        <v/>
      </c>
      <c r="I50" s="69" t="str">
        <f aca="false">IF(OR(A50="",G50=0),"",H50/G50)</f>
        <v/>
      </c>
      <c r="J50" s="68" t="str">
        <f aca="false">IF(A50="","",SUMIFS('RFQ Log'!$O$5:$O$304,'RFQ Log'!$C$5:$C$304,A50,'RFQ Log'!$R$5:$R$304,"Paid"))</f>
        <v/>
      </c>
      <c r="K50" s="68" t="str">
        <f aca="false">IF(A50="","",SUMIFS('RFQ Log'!$P$5:$P$304,'RFQ Log'!$C$5:$C$304,A50,'RFQ Log'!$R$5:$R$304,"Paid"))</f>
        <v/>
      </c>
      <c r="L50" s="52"/>
    </row>
    <row r="51" customFormat="false" ht="15" hidden="false" customHeight="false" outlineLevel="0" collapsed="false">
      <c r="A51" s="52"/>
      <c r="B51" s="52"/>
      <c r="C51" s="52"/>
      <c r="D51" s="52"/>
      <c r="E51" s="52"/>
      <c r="F51" s="52"/>
      <c r="G51" s="67" t="str">
        <f aca="false">IF(A51="","",COUNTIF('RFQ Log'!$C$5:$C$304,A51))</f>
        <v/>
      </c>
      <c r="H51" s="67" t="str">
        <f aca="false">IF(A51="","",COUNTIFS('RFQ Log'!$C$5:$C$304,A51,'RFQ Log'!$R$5:$R$304,"Won")+COUNTIFS('RFQ Log'!$C$5:$C$304,A51,'RFQ Log'!$R$5:$R$304,"Ordered")+COUNTIFS('RFQ Log'!$C$5:$C$304,A51,'RFQ Log'!$R$5:$R$304,"Shipped")+COUNTIFS('RFQ Log'!$C$5:$C$304,A51,'RFQ Log'!$R$5:$R$304,"Paid"))</f>
        <v/>
      </c>
      <c r="I51" s="69" t="str">
        <f aca="false">IF(OR(A51="",G51=0),"",H51/G51)</f>
        <v/>
      </c>
      <c r="J51" s="68" t="str">
        <f aca="false">IF(A51="","",SUMIFS('RFQ Log'!$O$5:$O$304,'RFQ Log'!$C$5:$C$304,A51,'RFQ Log'!$R$5:$R$304,"Paid"))</f>
        <v/>
      </c>
      <c r="K51" s="68" t="str">
        <f aca="false">IF(A51="","",SUMIFS('RFQ Log'!$P$5:$P$304,'RFQ Log'!$C$5:$C$304,A51,'RFQ Log'!$R$5:$R$304,"Paid"))</f>
        <v/>
      </c>
      <c r="L51" s="52"/>
    </row>
    <row r="52" customFormat="false" ht="15" hidden="false" customHeight="false" outlineLevel="0" collapsed="false">
      <c r="A52" s="52"/>
      <c r="B52" s="52"/>
      <c r="C52" s="52"/>
      <c r="D52" s="52"/>
      <c r="E52" s="52"/>
      <c r="F52" s="52"/>
      <c r="G52" s="67" t="str">
        <f aca="false">IF(A52="","",COUNTIF('RFQ Log'!$C$5:$C$304,A52))</f>
        <v/>
      </c>
      <c r="H52" s="67" t="str">
        <f aca="false">IF(A52="","",COUNTIFS('RFQ Log'!$C$5:$C$304,A52,'RFQ Log'!$R$5:$R$304,"Won")+COUNTIFS('RFQ Log'!$C$5:$C$304,A52,'RFQ Log'!$R$5:$R$304,"Ordered")+COUNTIFS('RFQ Log'!$C$5:$C$304,A52,'RFQ Log'!$R$5:$R$304,"Shipped")+COUNTIFS('RFQ Log'!$C$5:$C$304,A52,'RFQ Log'!$R$5:$R$304,"Paid"))</f>
        <v/>
      </c>
      <c r="I52" s="69" t="str">
        <f aca="false">IF(OR(A52="",G52=0),"",H52/G52)</f>
        <v/>
      </c>
      <c r="J52" s="68" t="str">
        <f aca="false">IF(A52="","",SUMIFS('RFQ Log'!$O$5:$O$304,'RFQ Log'!$C$5:$C$304,A52,'RFQ Log'!$R$5:$R$304,"Paid"))</f>
        <v/>
      </c>
      <c r="K52" s="68" t="str">
        <f aca="false">IF(A52="","",SUMIFS('RFQ Log'!$P$5:$P$304,'RFQ Log'!$C$5:$C$304,A52,'RFQ Log'!$R$5:$R$304,"Paid"))</f>
        <v/>
      </c>
      <c r="L52" s="52"/>
    </row>
    <row r="53" customFormat="false" ht="15" hidden="false" customHeight="false" outlineLevel="0" collapsed="false">
      <c r="A53" s="52"/>
      <c r="B53" s="52"/>
      <c r="C53" s="52"/>
      <c r="D53" s="52"/>
      <c r="E53" s="52"/>
      <c r="F53" s="52"/>
      <c r="G53" s="67" t="str">
        <f aca="false">IF(A53="","",COUNTIF('RFQ Log'!$C$5:$C$304,A53))</f>
        <v/>
      </c>
      <c r="H53" s="67" t="str">
        <f aca="false">IF(A53="","",COUNTIFS('RFQ Log'!$C$5:$C$304,A53,'RFQ Log'!$R$5:$R$304,"Won")+COUNTIFS('RFQ Log'!$C$5:$C$304,A53,'RFQ Log'!$R$5:$R$304,"Ordered")+COUNTIFS('RFQ Log'!$C$5:$C$304,A53,'RFQ Log'!$R$5:$R$304,"Shipped")+COUNTIFS('RFQ Log'!$C$5:$C$304,A53,'RFQ Log'!$R$5:$R$304,"Paid"))</f>
        <v/>
      </c>
      <c r="I53" s="69" t="str">
        <f aca="false">IF(OR(A53="",G53=0),"",H53/G53)</f>
        <v/>
      </c>
      <c r="J53" s="68" t="str">
        <f aca="false">IF(A53="","",SUMIFS('RFQ Log'!$O$5:$O$304,'RFQ Log'!$C$5:$C$304,A53,'RFQ Log'!$R$5:$R$304,"Paid"))</f>
        <v/>
      </c>
      <c r="K53" s="68" t="str">
        <f aca="false">IF(A53="","",SUMIFS('RFQ Log'!$P$5:$P$304,'RFQ Log'!$C$5:$C$304,A53,'RFQ Log'!$R$5:$R$304,"Paid"))</f>
        <v/>
      </c>
      <c r="L53" s="52"/>
    </row>
    <row r="54" customFormat="false" ht="15" hidden="false" customHeight="false" outlineLevel="0" collapsed="false">
      <c r="A54" s="52"/>
      <c r="B54" s="52"/>
      <c r="C54" s="52"/>
      <c r="D54" s="52"/>
      <c r="E54" s="52"/>
      <c r="F54" s="52"/>
      <c r="G54" s="67" t="str">
        <f aca="false">IF(A54="","",COUNTIF('RFQ Log'!$C$5:$C$304,A54))</f>
        <v/>
      </c>
      <c r="H54" s="67" t="str">
        <f aca="false">IF(A54="","",COUNTIFS('RFQ Log'!$C$5:$C$304,A54,'RFQ Log'!$R$5:$R$304,"Won")+COUNTIFS('RFQ Log'!$C$5:$C$304,A54,'RFQ Log'!$R$5:$R$304,"Ordered")+COUNTIFS('RFQ Log'!$C$5:$C$304,A54,'RFQ Log'!$R$5:$R$304,"Shipped")+COUNTIFS('RFQ Log'!$C$5:$C$304,A54,'RFQ Log'!$R$5:$R$304,"Paid"))</f>
        <v/>
      </c>
      <c r="I54" s="69" t="str">
        <f aca="false">IF(OR(A54="",G54=0),"",H54/G54)</f>
        <v/>
      </c>
      <c r="J54" s="68" t="str">
        <f aca="false">IF(A54="","",SUMIFS('RFQ Log'!$O$5:$O$304,'RFQ Log'!$C$5:$C$304,A54,'RFQ Log'!$R$5:$R$304,"Paid"))</f>
        <v/>
      </c>
      <c r="K54" s="68" t="str">
        <f aca="false">IF(A54="","",SUMIFS('RFQ Log'!$P$5:$P$304,'RFQ Log'!$C$5:$C$304,A54,'RFQ Log'!$R$5:$R$304,"Paid"))</f>
        <v/>
      </c>
      <c r="L54" s="52"/>
    </row>
    <row r="55" customFormat="false" ht="15" hidden="false" customHeight="false" outlineLevel="0" collapsed="false">
      <c r="A55" s="52"/>
      <c r="B55" s="52"/>
      <c r="C55" s="52"/>
      <c r="D55" s="52"/>
      <c r="E55" s="52"/>
      <c r="F55" s="52"/>
      <c r="G55" s="67" t="str">
        <f aca="false">IF(A55="","",COUNTIF('RFQ Log'!$C$5:$C$304,A55))</f>
        <v/>
      </c>
      <c r="H55" s="67" t="str">
        <f aca="false">IF(A55="","",COUNTIFS('RFQ Log'!$C$5:$C$304,A55,'RFQ Log'!$R$5:$R$304,"Won")+COUNTIFS('RFQ Log'!$C$5:$C$304,A55,'RFQ Log'!$R$5:$R$304,"Ordered")+COUNTIFS('RFQ Log'!$C$5:$C$304,A55,'RFQ Log'!$R$5:$R$304,"Shipped")+COUNTIFS('RFQ Log'!$C$5:$C$304,A55,'RFQ Log'!$R$5:$R$304,"Paid"))</f>
        <v/>
      </c>
      <c r="I55" s="69" t="str">
        <f aca="false">IF(OR(A55="",G55=0),"",H55/G55)</f>
        <v/>
      </c>
      <c r="J55" s="68" t="str">
        <f aca="false">IF(A55="","",SUMIFS('RFQ Log'!$O$5:$O$304,'RFQ Log'!$C$5:$C$304,A55,'RFQ Log'!$R$5:$R$304,"Paid"))</f>
        <v/>
      </c>
      <c r="K55" s="68" t="str">
        <f aca="false">IF(A55="","",SUMIFS('RFQ Log'!$P$5:$P$304,'RFQ Log'!$C$5:$C$304,A55,'RFQ Log'!$R$5:$R$304,"Paid"))</f>
        <v/>
      </c>
      <c r="L55" s="52"/>
    </row>
    <row r="56" customFormat="false" ht="15" hidden="false" customHeight="false" outlineLevel="0" collapsed="false">
      <c r="A56" s="52"/>
      <c r="B56" s="52"/>
      <c r="C56" s="52"/>
      <c r="D56" s="52"/>
      <c r="E56" s="52"/>
      <c r="F56" s="52"/>
      <c r="G56" s="67" t="str">
        <f aca="false">IF(A56="","",COUNTIF('RFQ Log'!$C$5:$C$304,A56))</f>
        <v/>
      </c>
      <c r="H56" s="67" t="str">
        <f aca="false">IF(A56="","",COUNTIFS('RFQ Log'!$C$5:$C$304,A56,'RFQ Log'!$R$5:$R$304,"Won")+COUNTIFS('RFQ Log'!$C$5:$C$304,A56,'RFQ Log'!$R$5:$R$304,"Ordered")+COUNTIFS('RFQ Log'!$C$5:$C$304,A56,'RFQ Log'!$R$5:$R$304,"Shipped")+COUNTIFS('RFQ Log'!$C$5:$C$304,A56,'RFQ Log'!$R$5:$R$304,"Paid"))</f>
        <v/>
      </c>
      <c r="I56" s="69" t="str">
        <f aca="false">IF(OR(A56="",G56=0),"",H56/G56)</f>
        <v/>
      </c>
      <c r="J56" s="68" t="str">
        <f aca="false">IF(A56="","",SUMIFS('RFQ Log'!$O$5:$O$304,'RFQ Log'!$C$5:$C$304,A56,'RFQ Log'!$R$5:$R$304,"Paid"))</f>
        <v/>
      </c>
      <c r="K56" s="68" t="str">
        <f aca="false">IF(A56="","",SUMIFS('RFQ Log'!$P$5:$P$304,'RFQ Log'!$C$5:$C$304,A56,'RFQ Log'!$R$5:$R$304,"Paid"))</f>
        <v/>
      </c>
      <c r="L56" s="52"/>
    </row>
    <row r="57" customFormat="false" ht="15" hidden="false" customHeight="false" outlineLevel="0" collapsed="false">
      <c r="A57" s="52"/>
      <c r="B57" s="52"/>
      <c r="C57" s="52"/>
      <c r="D57" s="52"/>
      <c r="E57" s="52"/>
      <c r="F57" s="52"/>
      <c r="G57" s="67" t="str">
        <f aca="false">IF(A57="","",COUNTIF('RFQ Log'!$C$5:$C$304,A57))</f>
        <v/>
      </c>
      <c r="H57" s="67" t="str">
        <f aca="false">IF(A57="","",COUNTIFS('RFQ Log'!$C$5:$C$304,A57,'RFQ Log'!$R$5:$R$304,"Won")+COUNTIFS('RFQ Log'!$C$5:$C$304,A57,'RFQ Log'!$R$5:$R$304,"Ordered")+COUNTIFS('RFQ Log'!$C$5:$C$304,A57,'RFQ Log'!$R$5:$R$304,"Shipped")+COUNTIFS('RFQ Log'!$C$5:$C$304,A57,'RFQ Log'!$R$5:$R$304,"Paid"))</f>
        <v/>
      </c>
      <c r="I57" s="69" t="str">
        <f aca="false">IF(OR(A57="",G57=0),"",H57/G57)</f>
        <v/>
      </c>
      <c r="J57" s="68" t="str">
        <f aca="false">IF(A57="","",SUMIFS('RFQ Log'!$O$5:$O$304,'RFQ Log'!$C$5:$C$304,A57,'RFQ Log'!$R$5:$R$304,"Paid"))</f>
        <v/>
      </c>
      <c r="K57" s="68" t="str">
        <f aca="false">IF(A57="","",SUMIFS('RFQ Log'!$P$5:$P$304,'RFQ Log'!$C$5:$C$304,A57,'RFQ Log'!$R$5:$R$304,"Paid"))</f>
        <v/>
      </c>
      <c r="L57" s="52"/>
    </row>
    <row r="58" customFormat="false" ht="15" hidden="false" customHeight="false" outlineLevel="0" collapsed="false">
      <c r="A58" s="52"/>
      <c r="B58" s="52"/>
      <c r="C58" s="52"/>
      <c r="D58" s="52"/>
      <c r="E58" s="52"/>
      <c r="F58" s="52"/>
      <c r="G58" s="67" t="str">
        <f aca="false">IF(A58="","",COUNTIF('RFQ Log'!$C$5:$C$304,A58))</f>
        <v/>
      </c>
      <c r="H58" s="67" t="str">
        <f aca="false">IF(A58="","",COUNTIFS('RFQ Log'!$C$5:$C$304,A58,'RFQ Log'!$R$5:$R$304,"Won")+COUNTIFS('RFQ Log'!$C$5:$C$304,A58,'RFQ Log'!$R$5:$R$304,"Ordered")+COUNTIFS('RFQ Log'!$C$5:$C$304,A58,'RFQ Log'!$R$5:$R$304,"Shipped")+COUNTIFS('RFQ Log'!$C$5:$C$304,A58,'RFQ Log'!$R$5:$R$304,"Paid"))</f>
        <v/>
      </c>
      <c r="I58" s="69" t="str">
        <f aca="false">IF(OR(A58="",G58=0),"",H58/G58)</f>
        <v/>
      </c>
      <c r="J58" s="68" t="str">
        <f aca="false">IF(A58="","",SUMIFS('RFQ Log'!$O$5:$O$304,'RFQ Log'!$C$5:$C$304,A58,'RFQ Log'!$R$5:$R$304,"Paid"))</f>
        <v/>
      </c>
      <c r="K58" s="68" t="str">
        <f aca="false">IF(A58="","",SUMIFS('RFQ Log'!$P$5:$P$304,'RFQ Log'!$C$5:$C$304,A58,'RFQ Log'!$R$5:$R$304,"Paid"))</f>
        <v/>
      </c>
      <c r="L58" s="52"/>
    </row>
    <row r="59" customFormat="false" ht="15" hidden="false" customHeight="false" outlineLevel="0" collapsed="false">
      <c r="A59" s="52"/>
      <c r="B59" s="52"/>
      <c r="C59" s="52"/>
      <c r="D59" s="52"/>
      <c r="E59" s="52"/>
      <c r="F59" s="52"/>
      <c r="G59" s="67" t="str">
        <f aca="false">IF(A59="","",COUNTIF('RFQ Log'!$C$5:$C$304,A59))</f>
        <v/>
      </c>
      <c r="H59" s="67" t="str">
        <f aca="false">IF(A59="","",COUNTIFS('RFQ Log'!$C$5:$C$304,A59,'RFQ Log'!$R$5:$R$304,"Won")+COUNTIFS('RFQ Log'!$C$5:$C$304,A59,'RFQ Log'!$R$5:$R$304,"Ordered")+COUNTIFS('RFQ Log'!$C$5:$C$304,A59,'RFQ Log'!$R$5:$R$304,"Shipped")+COUNTIFS('RFQ Log'!$C$5:$C$304,A59,'RFQ Log'!$R$5:$R$304,"Paid"))</f>
        <v/>
      </c>
      <c r="I59" s="69" t="str">
        <f aca="false">IF(OR(A59="",G59=0),"",H59/G59)</f>
        <v/>
      </c>
      <c r="J59" s="68" t="str">
        <f aca="false">IF(A59="","",SUMIFS('RFQ Log'!$O$5:$O$304,'RFQ Log'!$C$5:$C$304,A59,'RFQ Log'!$R$5:$R$304,"Paid"))</f>
        <v/>
      </c>
      <c r="K59" s="68" t="str">
        <f aca="false">IF(A59="","",SUMIFS('RFQ Log'!$P$5:$P$304,'RFQ Log'!$C$5:$C$304,A59,'RFQ Log'!$R$5:$R$304,"Paid"))</f>
        <v/>
      </c>
      <c r="L59" s="52"/>
    </row>
    <row r="60" customFormat="false" ht="15" hidden="false" customHeight="false" outlineLevel="0" collapsed="false">
      <c r="A60" s="52"/>
      <c r="B60" s="52"/>
      <c r="C60" s="52"/>
      <c r="D60" s="52"/>
      <c r="E60" s="52"/>
      <c r="F60" s="52"/>
      <c r="G60" s="67" t="str">
        <f aca="false">IF(A60="","",COUNTIF('RFQ Log'!$C$5:$C$304,A60))</f>
        <v/>
      </c>
      <c r="H60" s="67" t="str">
        <f aca="false">IF(A60="","",COUNTIFS('RFQ Log'!$C$5:$C$304,A60,'RFQ Log'!$R$5:$R$304,"Won")+COUNTIFS('RFQ Log'!$C$5:$C$304,A60,'RFQ Log'!$R$5:$R$304,"Ordered")+COUNTIFS('RFQ Log'!$C$5:$C$304,A60,'RFQ Log'!$R$5:$R$304,"Shipped")+COUNTIFS('RFQ Log'!$C$5:$C$304,A60,'RFQ Log'!$R$5:$R$304,"Paid"))</f>
        <v/>
      </c>
      <c r="I60" s="69" t="str">
        <f aca="false">IF(OR(A60="",G60=0),"",H60/G60)</f>
        <v/>
      </c>
      <c r="J60" s="68" t="str">
        <f aca="false">IF(A60="","",SUMIFS('RFQ Log'!$O$5:$O$304,'RFQ Log'!$C$5:$C$304,A60,'RFQ Log'!$R$5:$R$304,"Paid"))</f>
        <v/>
      </c>
      <c r="K60" s="68" t="str">
        <f aca="false">IF(A60="","",SUMIFS('RFQ Log'!$P$5:$P$304,'RFQ Log'!$C$5:$C$304,A60,'RFQ Log'!$R$5:$R$304,"Paid"))</f>
        <v/>
      </c>
      <c r="L60" s="52"/>
    </row>
    <row r="61" customFormat="false" ht="15" hidden="false" customHeight="false" outlineLevel="0" collapsed="false">
      <c r="A61" s="52"/>
      <c r="B61" s="52"/>
      <c r="C61" s="52"/>
      <c r="D61" s="52"/>
      <c r="E61" s="52"/>
      <c r="F61" s="52"/>
      <c r="G61" s="67" t="str">
        <f aca="false">IF(A61="","",COUNTIF('RFQ Log'!$C$5:$C$304,A61))</f>
        <v/>
      </c>
      <c r="H61" s="67" t="str">
        <f aca="false">IF(A61="","",COUNTIFS('RFQ Log'!$C$5:$C$304,A61,'RFQ Log'!$R$5:$R$304,"Won")+COUNTIFS('RFQ Log'!$C$5:$C$304,A61,'RFQ Log'!$R$5:$R$304,"Ordered")+COUNTIFS('RFQ Log'!$C$5:$C$304,A61,'RFQ Log'!$R$5:$R$304,"Shipped")+COUNTIFS('RFQ Log'!$C$5:$C$304,A61,'RFQ Log'!$R$5:$R$304,"Paid"))</f>
        <v/>
      </c>
      <c r="I61" s="69" t="str">
        <f aca="false">IF(OR(A61="",G61=0),"",H61/G61)</f>
        <v/>
      </c>
      <c r="J61" s="68" t="str">
        <f aca="false">IF(A61="","",SUMIFS('RFQ Log'!$O$5:$O$304,'RFQ Log'!$C$5:$C$304,A61,'RFQ Log'!$R$5:$R$304,"Paid"))</f>
        <v/>
      </c>
      <c r="K61" s="68" t="str">
        <f aca="false">IF(A61="","",SUMIFS('RFQ Log'!$P$5:$P$304,'RFQ Log'!$C$5:$C$304,A61,'RFQ Log'!$R$5:$R$304,"Paid"))</f>
        <v/>
      </c>
      <c r="L61" s="52"/>
    </row>
    <row r="62" customFormat="false" ht="15" hidden="false" customHeight="false" outlineLevel="0" collapsed="false">
      <c r="A62" s="52"/>
      <c r="B62" s="52"/>
      <c r="C62" s="52"/>
      <c r="D62" s="52"/>
      <c r="E62" s="52"/>
      <c r="F62" s="52"/>
      <c r="G62" s="67" t="str">
        <f aca="false">IF(A62="","",COUNTIF('RFQ Log'!$C$5:$C$304,A62))</f>
        <v/>
      </c>
      <c r="H62" s="67" t="str">
        <f aca="false">IF(A62="","",COUNTIFS('RFQ Log'!$C$5:$C$304,A62,'RFQ Log'!$R$5:$R$304,"Won")+COUNTIFS('RFQ Log'!$C$5:$C$304,A62,'RFQ Log'!$R$5:$R$304,"Ordered")+COUNTIFS('RFQ Log'!$C$5:$C$304,A62,'RFQ Log'!$R$5:$R$304,"Shipped")+COUNTIFS('RFQ Log'!$C$5:$C$304,A62,'RFQ Log'!$R$5:$R$304,"Paid"))</f>
        <v/>
      </c>
      <c r="I62" s="69" t="str">
        <f aca="false">IF(OR(A62="",G62=0),"",H62/G62)</f>
        <v/>
      </c>
      <c r="J62" s="68" t="str">
        <f aca="false">IF(A62="","",SUMIFS('RFQ Log'!$O$5:$O$304,'RFQ Log'!$C$5:$C$304,A62,'RFQ Log'!$R$5:$R$304,"Paid"))</f>
        <v/>
      </c>
      <c r="K62" s="68" t="str">
        <f aca="false">IF(A62="","",SUMIFS('RFQ Log'!$P$5:$P$304,'RFQ Log'!$C$5:$C$304,A62,'RFQ Log'!$R$5:$R$304,"Paid"))</f>
        <v/>
      </c>
      <c r="L62" s="52"/>
    </row>
    <row r="63" customFormat="false" ht="15" hidden="false" customHeight="false" outlineLevel="0" collapsed="false">
      <c r="A63" s="52"/>
      <c r="B63" s="52"/>
      <c r="C63" s="52"/>
      <c r="D63" s="52"/>
      <c r="E63" s="52"/>
      <c r="F63" s="52"/>
      <c r="G63" s="67" t="str">
        <f aca="false">IF(A63="","",COUNTIF('RFQ Log'!$C$5:$C$304,A63))</f>
        <v/>
      </c>
      <c r="H63" s="67" t="str">
        <f aca="false">IF(A63="","",COUNTIFS('RFQ Log'!$C$5:$C$304,A63,'RFQ Log'!$R$5:$R$304,"Won")+COUNTIFS('RFQ Log'!$C$5:$C$304,A63,'RFQ Log'!$R$5:$R$304,"Ordered")+COUNTIFS('RFQ Log'!$C$5:$C$304,A63,'RFQ Log'!$R$5:$R$304,"Shipped")+COUNTIFS('RFQ Log'!$C$5:$C$304,A63,'RFQ Log'!$R$5:$R$304,"Paid"))</f>
        <v/>
      </c>
      <c r="I63" s="69" t="str">
        <f aca="false">IF(OR(A63="",G63=0),"",H63/G63)</f>
        <v/>
      </c>
      <c r="J63" s="68" t="str">
        <f aca="false">IF(A63="","",SUMIFS('RFQ Log'!$O$5:$O$304,'RFQ Log'!$C$5:$C$304,A63,'RFQ Log'!$R$5:$R$304,"Paid"))</f>
        <v/>
      </c>
      <c r="K63" s="68" t="str">
        <f aca="false">IF(A63="","",SUMIFS('RFQ Log'!$P$5:$P$304,'RFQ Log'!$C$5:$C$304,A63,'RFQ Log'!$R$5:$R$304,"Paid"))</f>
        <v/>
      </c>
      <c r="L63" s="52"/>
    </row>
    <row r="64" customFormat="false" ht="15" hidden="false" customHeight="false" outlineLevel="0" collapsed="false">
      <c r="A64" s="52"/>
      <c r="B64" s="52"/>
      <c r="C64" s="52"/>
      <c r="D64" s="52"/>
      <c r="E64" s="52"/>
      <c r="F64" s="52"/>
      <c r="G64" s="67" t="str">
        <f aca="false">IF(A64="","",COUNTIF('RFQ Log'!$C$5:$C$304,A64))</f>
        <v/>
      </c>
      <c r="H64" s="67" t="str">
        <f aca="false">IF(A64="","",COUNTIFS('RFQ Log'!$C$5:$C$304,A64,'RFQ Log'!$R$5:$R$304,"Won")+COUNTIFS('RFQ Log'!$C$5:$C$304,A64,'RFQ Log'!$R$5:$R$304,"Ordered")+COUNTIFS('RFQ Log'!$C$5:$C$304,A64,'RFQ Log'!$R$5:$R$304,"Shipped")+COUNTIFS('RFQ Log'!$C$5:$C$304,A64,'RFQ Log'!$R$5:$R$304,"Paid"))</f>
        <v/>
      </c>
      <c r="I64" s="69" t="str">
        <f aca="false">IF(OR(A64="",G64=0),"",H64/G64)</f>
        <v/>
      </c>
      <c r="J64" s="68" t="str">
        <f aca="false">IF(A64="","",SUMIFS('RFQ Log'!$O$5:$O$304,'RFQ Log'!$C$5:$C$304,A64,'RFQ Log'!$R$5:$R$304,"Paid"))</f>
        <v/>
      </c>
      <c r="K64" s="68" t="str">
        <f aca="false">IF(A64="","",SUMIFS('RFQ Log'!$P$5:$P$304,'RFQ Log'!$C$5:$C$304,A64,'RFQ Log'!$R$5:$R$304,"Paid"))</f>
        <v/>
      </c>
      <c r="L64" s="52"/>
    </row>
    <row r="65" customFormat="false" ht="15" hidden="false" customHeight="false" outlineLevel="0" collapsed="false">
      <c r="A65" s="52"/>
      <c r="B65" s="52"/>
      <c r="C65" s="52"/>
      <c r="D65" s="52"/>
      <c r="E65" s="52"/>
      <c r="F65" s="52"/>
      <c r="G65" s="67" t="str">
        <f aca="false">IF(A65="","",COUNTIF('RFQ Log'!$C$5:$C$304,A65))</f>
        <v/>
      </c>
      <c r="H65" s="67" t="str">
        <f aca="false">IF(A65="","",COUNTIFS('RFQ Log'!$C$5:$C$304,A65,'RFQ Log'!$R$5:$R$304,"Won")+COUNTIFS('RFQ Log'!$C$5:$C$304,A65,'RFQ Log'!$R$5:$R$304,"Ordered")+COUNTIFS('RFQ Log'!$C$5:$C$304,A65,'RFQ Log'!$R$5:$R$304,"Shipped")+COUNTIFS('RFQ Log'!$C$5:$C$304,A65,'RFQ Log'!$R$5:$R$304,"Paid"))</f>
        <v/>
      </c>
      <c r="I65" s="69" t="str">
        <f aca="false">IF(OR(A65="",G65=0),"",H65/G65)</f>
        <v/>
      </c>
      <c r="J65" s="68" t="str">
        <f aca="false">IF(A65="","",SUMIFS('RFQ Log'!$O$5:$O$304,'RFQ Log'!$C$5:$C$304,A65,'RFQ Log'!$R$5:$R$304,"Paid"))</f>
        <v/>
      </c>
      <c r="K65" s="68" t="str">
        <f aca="false">IF(A65="","",SUMIFS('RFQ Log'!$P$5:$P$304,'RFQ Log'!$C$5:$C$304,A65,'RFQ Log'!$R$5:$R$304,"Paid"))</f>
        <v/>
      </c>
      <c r="L65" s="52"/>
    </row>
    <row r="66" customFormat="false" ht="15" hidden="false" customHeight="false" outlineLevel="0" collapsed="false">
      <c r="A66" s="52"/>
      <c r="B66" s="52"/>
      <c r="C66" s="52"/>
      <c r="D66" s="52"/>
      <c r="E66" s="52"/>
      <c r="F66" s="52"/>
      <c r="G66" s="67" t="str">
        <f aca="false">IF(A66="","",COUNTIF('RFQ Log'!$C$5:$C$304,A66))</f>
        <v/>
      </c>
      <c r="H66" s="67" t="str">
        <f aca="false">IF(A66="","",COUNTIFS('RFQ Log'!$C$5:$C$304,A66,'RFQ Log'!$R$5:$R$304,"Won")+COUNTIFS('RFQ Log'!$C$5:$C$304,A66,'RFQ Log'!$R$5:$R$304,"Ordered")+COUNTIFS('RFQ Log'!$C$5:$C$304,A66,'RFQ Log'!$R$5:$R$304,"Shipped")+COUNTIFS('RFQ Log'!$C$5:$C$304,A66,'RFQ Log'!$R$5:$R$304,"Paid"))</f>
        <v/>
      </c>
      <c r="I66" s="69" t="str">
        <f aca="false">IF(OR(A66="",G66=0),"",H66/G66)</f>
        <v/>
      </c>
      <c r="J66" s="68" t="str">
        <f aca="false">IF(A66="","",SUMIFS('RFQ Log'!$O$5:$O$304,'RFQ Log'!$C$5:$C$304,A66,'RFQ Log'!$R$5:$R$304,"Paid"))</f>
        <v/>
      </c>
      <c r="K66" s="68" t="str">
        <f aca="false">IF(A66="","",SUMIFS('RFQ Log'!$P$5:$P$304,'RFQ Log'!$C$5:$C$304,A66,'RFQ Log'!$R$5:$R$304,"Paid"))</f>
        <v/>
      </c>
      <c r="L66" s="52"/>
    </row>
    <row r="67" customFormat="false" ht="15" hidden="false" customHeight="false" outlineLevel="0" collapsed="false">
      <c r="A67" s="52"/>
      <c r="B67" s="52"/>
      <c r="C67" s="52"/>
      <c r="D67" s="52"/>
      <c r="E67" s="52"/>
      <c r="F67" s="52"/>
      <c r="G67" s="67" t="str">
        <f aca="false">IF(A67="","",COUNTIF('RFQ Log'!$C$5:$C$304,A67))</f>
        <v/>
      </c>
      <c r="H67" s="67" t="str">
        <f aca="false">IF(A67="","",COUNTIFS('RFQ Log'!$C$5:$C$304,A67,'RFQ Log'!$R$5:$R$304,"Won")+COUNTIFS('RFQ Log'!$C$5:$C$304,A67,'RFQ Log'!$R$5:$R$304,"Ordered")+COUNTIFS('RFQ Log'!$C$5:$C$304,A67,'RFQ Log'!$R$5:$R$304,"Shipped")+COUNTIFS('RFQ Log'!$C$5:$C$304,A67,'RFQ Log'!$R$5:$R$304,"Paid"))</f>
        <v/>
      </c>
      <c r="I67" s="69" t="str">
        <f aca="false">IF(OR(A67="",G67=0),"",H67/G67)</f>
        <v/>
      </c>
      <c r="J67" s="68" t="str">
        <f aca="false">IF(A67="","",SUMIFS('RFQ Log'!$O$5:$O$304,'RFQ Log'!$C$5:$C$304,A67,'RFQ Log'!$R$5:$R$304,"Paid"))</f>
        <v/>
      </c>
      <c r="K67" s="68" t="str">
        <f aca="false">IF(A67="","",SUMIFS('RFQ Log'!$P$5:$P$304,'RFQ Log'!$C$5:$C$304,A67,'RFQ Log'!$R$5:$R$304,"Paid"))</f>
        <v/>
      </c>
      <c r="L67" s="52"/>
    </row>
    <row r="68" customFormat="false" ht="15" hidden="false" customHeight="false" outlineLevel="0" collapsed="false">
      <c r="A68" s="52"/>
      <c r="B68" s="52"/>
      <c r="C68" s="52"/>
      <c r="D68" s="52"/>
      <c r="E68" s="52"/>
      <c r="F68" s="52"/>
      <c r="G68" s="67" t="str">
        <f aca="false">IF(A68="","",COUNTIF('RFQ Log'!$C$5:$C$304,A68))</f>
        <v/>
      </c>
      <c r="H68" s="67" t="str">
        <f aca="false">IF(A68="","",COUNTIFS('RFQ Log'!$C$5:$C$304,A68,'RFQ Log'!$R$5:$R$304,"Won")+COUNTIFS('RFQ Log'!$C$5:$C$304,A68,'RFQ Log'!$R$5:$R$304,"Ordered")+COUNTIFS('RFQ Log'!$C$5:$C$304,A68,'RFQ Log'!$R$5:$R$304,"Shipped")+COUNTIFS('RFQ Log'!$C$5:$C$304,A68,'RFQ Log'!$R$5:$R$304,"Paid"))</f>
        <v/>
      </c>
      <c r="I68" s="69" t="str">
        <f aca="false">IF(OR(A68="",G68=0),"",H68/G68)</f>
        <v/>
      </c>
      <c r="J68" s="68" t="str">
        <f aca="false">IF(A68="","",SUMIFS('RFQ Log'!$O$5:$O$304,'RFQ Log'!$C$5:$C$304,A68,'RFQ Log'!$R$5:$R$304,"Paid"))</f>
        <v/>
      </c>
      <c r="K68" s="68" t="str">
        <f aca="false">IF(A68="","",SUMIFS('RFQ Log'!$P$5:$P$304,'RFQ Log'!$C$5:$C$304,A68,'RFQ Log'!$R$5:$R$304,"Paid"))</f>
        <v/>
      </c>
      <c r="L68" s="52"/>
    </row>
    <row r="69" customFormat="false" ht="15" hidden="false" customHeight="false" outlineLevel="0" collapsed="false">
      <c r="A69" s="52"/>
      <c r="B69" s="52"/>
      <c r="C69" s="52"/>
      <c r="D69" s="52"/>
      <c r="E69" s="52"/>
      <c r="F69" s="52"/>
      <c r="G69" s="67" t="str">
        <f aca="false">IF(A69="","",COUNTIF('RFQ Log'!$C$5:$C$304,A69))</f>
        <v/>
      </c>
      <c r="H69" s="67" t="str">
        <f aca="false">IF(A69="","",COUNTIFS('RFQ Log'!$C$5:$C$304,A69,'RFQ Log'!$R$5:$R$304,"Won")+COUNTIFS('RFQ Log'!$C$5:$C$304,A69,'RFQ Log'!$R$5:$R$304,"Ordered")+COUNTIFS('RFQ Log'!$C$5:$C$304,A69,'RFQ Log'!$R$5:$R$304,"Shipped")+COUNTIFS('RFQ Log'!$C$5:$C$304,A69,'RFQ Log'!$R$5:$R$304,"Paid"))</f>
        <v/>
      </c>
      <c r="I69" s="69" t="str">
        <f aca="false">IF(OR(A69="",G69=0),"",H69/G69)</f>
        <v/>
      </c>
      <c r="J69" s="68" t="str">
        <f aca="false">IF(A69="","",SUMIFS('RFQ Log'!$O$5:$O$304,'RFQ Log'!$C$5:$C$304,A69,'RFQ Log'!$R$5:$R$304,"Paid"))</f>
        <v/>
      </c>
      <c r="K69" s="68" t="str">
        <f aca="false">IF(A69="","",SUMIFS('RFQ Log'!$P$5:$P$304,'RFQ Log'!$C$5:$C$304,A69,'RFQ Log'!$R$5:$R$304,"Paid"))</f>
        <v/>
      </c>
      <c r="L69" s="52"/>
    </row>
    <row r="70" customFormat="false" ht="15" hidden="false" customHeight="false" outlineLevel="0" collapsed="false">
      <c r="A70" s="52"/>
      <c r="B70" s="52"/>
      <c r="C70" s="52"/>
      <c r="D70" s="52"/>
      <c r="E70" s="52"/>
      <c r="F70" s="52"/>
      <c r="G70" s="67" t="str">
        <f aca="false">IF(A70="","",COUNTIF('RFQ Log'!$C$5:$C$304,A70))</f>
        <v/>
      </c>
      <c r="H70" s="67" t="str">
        <f aca="false">IF(A70="","",COUNTIFS('RFQ Log'!$C$5:$C$304,A70,'RFQ Log'!$R$5:$R$304,"Won")+COUNTIFS('RFQ Log'!$C$5:$C$304,A70,'RFQ Log'!$R$5:$R$304,"Ordered")+COUNTIFS('RFQ Log'!$C$5:$C$304,A70,'RFQ Log'!$R$5:$R$304,"Shipped")+COUNTIFS('RFQ Log'!$C$5:$C$304,A70,'RFQ Log'!$R$5:$R$304,"Paid"))</f>
        <v/>
      </c>
      <c r="I70" s="69" t="str">
        <f aca="false">IF(OR(A70="",G70=0),"",H70/G70)</f>
        <v/>
      </c>
      <c r="J70" s="68" t="str">
        <f aca="false">IF(A70="","",SUMIFS('RFQ Log'!$O$5:$O$304,'RFQ Log'!$C$5:$C$304,A70,'RFQ Log'!$R$5:$R$304,"Paid"))</f>
        <v/>
      </c>
      <c r="K70" s="68" t="str">
        <f aca="false">IF(A70="","",SUMIFS('RFQ Log'!$P$5:$P$304,'RFQ Log'!$C$5:$C$304,A70,'RFQ Log'!$R$5:$R$304,"Paid"))</f>
        <v/>
      </c>
      <c r="L70" s="52"/>
    </row>
    <row r="71" customFormat="false" ht="15" hidden="false" customHeight="false" outlineLevel="0" collapsed="false">
      <c r="A71" s="52"/>
      <c r="B71" s="52"/>
      <c r="C71" s="52"/>
      <c r="D71" s="52"/>
      <c r="E71" s="52"/>
      <c r="F71" s="52"/>
      <c r="G71" s="67" t="str">
        <f aca="false">IF(A71="","",COUNTIF('RFQ Log'!$C$5:$C$304,A71))</f>
        <v/>
      </c>
      <c r="H71" s="67" t="str">
        <f aca="false">IF(A71="","",COUNTIFS('RFQ Log'!$C$5:$C$304,A71,'RFQ Log'!$R$5:$R$304,"Won")+COUNTIFS('RFQ Log'!$C$5:$C$304,A71,'RFQ Log'!$R$5:$R$304,"Ordered")+COUNTIFS('RFQ Log'!$C$5:$C$304,A71,'RFQ Log'!$R$5:$R$304,"Shipped")+COUNTIFS('RFQ Log'!$C$5:$C$304,A71,'RFQ Log'!$R$5:$R$304,"Paid"))</f>
        <v/>
      </c>
      <c r="I71" s="69" t="str">
        <f aca="false">IF(OR(A71="",G71=0),"",H71/G71)</f>
        <v/>
      </c>
      <c r="J71" s="68" t="str">
        <f aca="false">IF(A71="","",SUMIFS('RFQ Log'!$O$5:$O$304,'RFQ Log'!$C$5:$C$304,A71,'RFQ Log'!$R$5:$R$304,"Paid"))</f>
        <v/>
      </c>
      <c r="K71" s="68" t="str">
        <f aca="false">IF(A71="","",SUMIFS('RFQ Log'!$P$5:$P$304,'RFQ Log'!$C$5:$C$304,A71,'RFQ Log'!$R$5:$R$304,"Paid"))</f>
        <v/>
      </c>
      <c r="L71" s="52"/>
    </row>
    <row r="72" customFormat="false" ht="15" hidden="false" customHeight="false" outlineLevel="0" collapsed="false">
      <c r="A72" s="52"/>
      <c r="B72" s="52"/>
      <c r="C72" s="52"/>
      <c r="D72" s="52"/>
      <c r="E72" s="52"/>
      <c r="F72" s="52"/>
      <c r="G72" s="67" t="str">
        <f aca="false">IF(A72="","",COUNTIF('RFQ Log'!$C$5:$C$304,A72))</f>
        <v/>
      </c>
      <c r="H72" s="67" t="str">
        <f aca="false">IF(A72="","",COUNTIFS('RFQ Log'!$C$5:$C$304,A72,'RFQ Log'!$R$5:$R$304,"Won")+COUNTIFS('RFQ Log'!$C$5:$C$304,A72,'RFQ Log'!$R$5:$R$304,"Ordered")+COUNTIFS('RFQ Log'!$C$5:$C$304,A72,'RFQ Log'!$R$5:$R$304,"Shipped")+COUNTIFS('RFQ Log'!$C$5:$C$304,A72,'RFQ Log'!$R$5:$R$304,"Paid"))</f>
        <v/>
      </c>
      <c r="I72" s="69" t="str">
        <f aca="false">IF(OR(A72="",G72=0),"",H72/G72)</f>
        <v/>
      </c>
      <c r="J72" s="68" t="str">
        <f aca="false">IF(A72="","",SUMIFS('RFQ Log'!$O$5:$O$304,'RFQ Log'!$C$5:$C$304,A72,'RFQ Log'!$R$5:$R$304,"Paid"))</f>
        <v/>
      </c>
      <c r="K72" s="68" t="str">
        <f aca="false">IF(A72="","",SUMIFS('RFQ Log'!$P$5:$P$304,'RFQ Log'!$C$5:$C$304,A72,'RFQ Log'!$R$5:$R$304,"Paid"))</f>
        <v/>
      </c>
      <c r="L72" s="52"/>
    </row>
    <row r="73" customFormat="false" ht="15" hidden="false" customHeight="false" outlineLevel="0" collapsed="false">
      <c r="A73" s="52"/>
      <c r="B73" s="52"/>
      <c r="C73" s="52"/>
      <c r="D73" s="52"/>
      <c r="E73" s="52"/>
      <c r="F73" s="52"/>
      <c r="G73" s="67" t="str">
        <f aca="false">IF(A73="","",COUNTIF('RFQ Log'!$C$5:$C$304,A73))</f>
        <v/>
      </c>
      <c r="H73" s="67" t="str">
        <f aca="false">IF(A73="","",COUNTIFS('RFQ Log'!$C$5:$C$304,A73,'RFQ Log'!$R$5:$R$304,"Won")+COUNTIFS('RFQ Log'!$C$5:$C$304,A73,'RFQ Log'!$R$5:$R$304,"Ordered")+COUNTIFS('RFQ Log'!$C$5:$C$304,A73,'RFQ Log'!$R$5:$R$304,"Shipped")+COUNTIFS('RFQ Log'!$C$5:$C$304,A73,'RFQ Log'!$R$5:$R$304,"Paid"))</f>
        <v/>
      </c>
      <c r="I73" s="69" t="str">
        <f aca="false">IF(OR(A73="",G73=0),"",H73/G73)</f>
        <v/>
      </c>
      <c r="J73" s="68" t="str">
        <f aca="false">IF(A73="","",SUMIFS('RFQ Log'!$O$5:$O$304,'RFQ Log'!$C$5:$C$304,A73,'RFQ Log'!$R$5:$R$304,"Paid"))</f>
        <v/>
      </c>
      <c r="K73" s="68" t="str">
        <f aca="false">IF(A73="","",SUMIFS('RFQ Log'!$P$5:$P$304,'RFQ Log'!$C$5:$C$304,A73,'RFQ Log'!$R$5:$R$304,"Paid"))</f>
        <v/>
      </c>
      <c r="L73" s="52"/>
    </row>
    <row r="74" customFormat="false" ht="15" hidden="false" customHeight="false" outlineLevel="0" collapsed="false">
      <c r="A74" s="52"/>
      <c r="B74" s="52"/>
      <c r="C74" s="52"/>
      <c r="D74" s="52"/>
      <c r="E74" s="52"/>
      <c r="F74" s="52"/>
      <c r="G74" s="67" t="str">
        <f aca="false">IF(A74="","",COUNTIF('RFQ Log'!$C$5:$C$304,A74))</f>
        <v/>
      </c>
      <c r="H74" s="67" t="str">
        <f aca="false">IF(A74="","",COUNTIFS('RFQ Log'!$C$5:$C$304,A74,'RFQ Log'!$R$5:$R$304,"Won")+COUNTIFS('RFQ Log'!$C$5:$C$304,A74,'RFQ Log'!$R$5:$R$304,"Ordered")+COUNTIFS('RFQ Log'!$C$5:$C$304,A74,'RFQ Log'!$R$5:$R$304,"Shipped")+COUNTIFS('RFQ Log'!$C$5:$C$304,A74,'RFQ Log'!$R$5:$R$304,"Paid"))</f>
        <v/>
      </c>
      <c r="I74" s="69" t="str">
        <f aca="false">IF(OR(A74="",G74=0),"",H74/G74)</f>
        <v/>
      </c>
      <c r="J74" s="68" t="str">
        <f aca="false">IF(A74="","",SUMIFS('RFQ Log'!$O$5:$O$304,'RFQ Log'!$C$5:$C$304,A74,'RFQ Log'!$R$5:$R$304,"Paid"))</f>
        <v/>
      </c>
      <c r="K74" s="68" t="str">
        <f aca="false">IF(A74="","",SUMIFS('RFQ Log'!$P$5:$P$304,'RFQ Log'!$C$5:$C$304,A74,'RFQ Log'!$R$5:$R$304,"Paid"))</f>
        <v/>
      </c>
      <c r="L74" s="52"/>
    </row>
    <row r="75" customFormat="false" ht="15" hidden="false" customHeight="false" outlineLevel="0" collapsed="false">
      <c r="A75" s="52"/>
      <c r="B75" s="52"/>
      <c r="C75" s="52"/>
      <c r="D75" s="52"/>
      <c r="E75" s="52"/>
      <c r="F75" s="52"/>
      <c r="G75" s="67" t="str">
        <f aca="false">IF(A75="","",COUNTIF('RFQ Log'!$C$5:$C$304,A75))</f>
        <v/>
      </c>
      <c r="H75" s="67" t="str">
        <f aca="false">IF(A75="","",COUNTIFS('RFQ Log'!$C$5:$C$304,A75,'RFQ Log'!$R$5:$R$304,"Won")+COUNTIFS('RFQ Log'!$C$5:$C$304,A75,'RFQ Log'!$R$5:$R$304,"Ordered")+COUNTIFS('RFQ Log'!$C$5:$C$304,A75,'RFQ Log'!$R$5:$R$304,"Shipped")+COUNTIFS('RFQ Log'!$C$5:$C$304,A75,'RFQ Log'!$R$5:$R$304,"Paid"))</f>
        <v/>
      </c>
      <c r="I75" s="69" t="str">
        <f aca="false">IF(OR(A75="",G75=0),"",H75/G75)</f>
        <v/>
      </c>
      <c r="J75" s="68" t="str">
        <f aca="false">IF(A75="","",SUMIFS('RFQ Log'!$O$5:$O$304,'RFQ Log'!$C$5:$C$304,A75,'RFQ Log'!$R$5:$R$304,"Paid"))</f>
        <v/>
      </c>
      <c r="K75" s="68" t="str">
        <f aca="false">IF(A75="","",SUMIFS('RFQ Log'!$P$5:$P$304,'RFQ Log'!$C$5:$C$304,A75,'RFQ Log'!$R$5:$R$304,"Paid"))</f>
        <v/>
      </c>
      <c r="L75" s="52"/>
    </row>
    <row r="76" customFormat="false" ht="15" hidden="false" customHeight="false" outlineLevel="0" collapsed="false">
      <c r="A76" s="52"/>
      <c r="B76" s="52"/>
      <c r="C76" s="52"/>
      <c r="D76" s="52"/>
      <c r="E76" s="52"/>
      <c r="F76" s="52"/>
      <c r="G76" s="67" t="str">
        <f aca="false">IF(A76="","",COUNTIF('RFQ Log'!$C$5:$C$304,A76))</f>
        <v/>
      </c>
      <c r="H76" s="67" t="str">
        <f aca="false">IF(A76="","",COUNTIFS('RFQ Log'!$C$5:$C$304,A76,'RFQ Log'!$R$5:$R$304,"Won")+COUNTIFS('RFQ Log'!$C$5:$C$304,A76,'RFQ Log'!$R$5:$R$304,"Ordered")+COUNTIFS('RFQ Log'!$C$5:$C$304,A76,'RFQ Log'!$R$5:$R$304,"Shipped")+COUNTIFS('RFQ Log'!$C$5:$C$304,A76,'RFQ Log'!$R$5:$R$304,"Paid"))</f>
        <v/>
      </c>
      <c r="I76" s="69" t="str">
        <f aca="false">IF(OR(A76="",G76=0),"",H76/G76)</f>
        <v/>
      </c>
      <c r="J76" s="68" t="str">
        <f aca="false">IF(A76="","",SUMIFS('RFQ Log'!$O$5:$O$304,'RFQ Log'!$C$5:$C$304,A76,'RFQ Log'!$R$5:$R$304,"Paid"))</f>
        <v/>
      </c>
      <c r="K76" s="68" t="str">
        <f aca="false">IF(A76="","",SUMIFS('RFQ Log'!$P$5:$P$304,'RFQ Log'!$C$5:$C$304,A76,'RFQ Log'!$R$5:$R$304,"Paid"))</f>
        <v/>
      </c>
      <c r="L76" s="52"/>
    </row>
    <row r="77" customFormat="false" ht="15" hidden="false" customHeight="false" outlineLevel="0" collapsed="false">
      <c r="A77" s="52"/>
      <c r="B77" s="52"/>
      <c r="C77" s="52"/>
      <c r="D77" s="52"/>
      <c r="E77" s="52"/>
      <c r="F77" s="52"/>
      <c r="G77" s="67" t="str">
        <f aca="false">IF(A77="","",COUNTIF('RFQ Log'!$C$5:$C$304,A77))</f>
        <v/>
      </c>
      <c r="H77" s="67" t="str">
        <f aca="false">IF(A77="","",COUNTIFS('RFQ Log'!$C$5:$C$304,A77,'RFQ Log'!$R$5:$R$304,"Won")+COUNTIFS('RFQ Log'!$C$5:$C$304,A77,'RFQ Log'!$R$5:$R$304,"Ordered")+COUNTIFS('RFQ Log'!$C$5:$C$304,A77,'RFQ Log'!$R$5:$R$304,"Shipped")+COUNTIFS('RFQ Log'!$C$5:$C$304,A77,'RFQ Log'!$R$5:$R$304,"Paid"))</f>
        <v/>
      </c>
      <c r="I77" s="69" t="str">
        <f aca="false">IF(OR(A77="",G77=0),"",H77/G77)</f>
        <v/>
      </c>
      <c r="J77" s="68" t="str">
        <f aca="false">IF(A77="","",SUMIFS('RFQ Log'!$O$5:$O$304,'RFQ Log'!$C$5:$C$304,A77,'RFQ Log'!$R$5:$R$304,"Paid"))</f>
        <v/>
      </c>
      <c r="K77" s="68" t="str">
        <f aca="false">IF(A77="","",SUMIFS('RFQ Log'!$P$5:$P$304,'RFQ Log'!$C$5:$C$304,A77,'RFQ Log'!$R$5:$R$304,"Paid"))</f>
        <v/>
      </c>
      <c r="L77" s="52"/>
    </row>
    <row r="78" customFormat="false" ht="15" hidden="false" customHeight="false" outlineLevel="0" collapsed="false">
      <c r="A78" s="52"/>
      <c r="B78" s="52"/>
      <c r="C78" s="52"/>
      <c r="D78" s="52"/>
      <c r="E78" s="52"/>
      <c r="F78" s="52"/>
      <c r="G78" s="67" t="str">
        <f aca="false">IF(A78="","",COUNTIF('RFQ Log'!$C$5:$C$304,A78))</f>
        <v/>
      </c>
      <c r="H78" s="67" t="str">
        <f aca="false">IF(A78="","",COUNTIFS('RFQ Log'!$C$5:$C$304,A78,'RFQ Log'!$R$5:$R$304,"Won")+COUNTIFS('RFQ Log'!$C$5:$C$304,A78,'RFQ Log'!$R$5:$R$304,"Ordered")+COUNTIFS('RFQ Log'!$C$5:$C$304,A78,'RFQ Log'!$R$5:$R$304,"Shipped")+COUNTIFS('RFQ Log'!$C$5:$C$304,A78,'RFQ Log'!$R$5:$R$304,"Paid"))</f>
        <v/>
      </c>
      <c r="I78" s="69" t="str">
        <f aca="false">IF(OR(A78="",G78=0),"",H78/G78)</f>
        <v/>
      </c>
      <c r="J78" s="68" t="str">
        <f aca="false">IF(A78="","",SUMIFS('RFQ Log'!$O$5:$O$304,'RFQ Log'!$C$5:$C$304,A78,'RFQ Log'!$R$5:$R$304,"Paid"))</f>
        <v/>
      </c>
      <c r="K78" s="68" t="str">
        <f aca="false">IF(A78="","",SUMIFS('RFQ Log'!$P$5:$P$304,'RFQ Log'!$C$5:$C$304,A78,'RFQ Log'!$R$5:$R$304,"Paid"))</f>
        <v/>
      </c>
      <c r="L78" s="52"/>
    </row>
    <row r="79" customFormat="false" ht="15" hidden="false" customHeight="false" outlineLevel="0" collapsed="false">
      <c r="A79" s="52"/>
      <c r="B79" s="52"/>
      <c r="C79" s="52"/>
      <c r="D79" s="52"/>
      <c r="E79" s="52"/>
      <c r="F79" s="52"/>
      <c r="G79" s="67" t="str">
        <f aca="false">IF(A79="","",COUNTIF('RFQ Log'!$C$5:$C$304,A79))</f>
        <v/>
      </c>
      <c r="H79" s="67" t="str">
        <f aca="false">IF(A79="","",COUNTIFS('RFQ Log'!$C$5:$C$304,A79,'RFQ Log'!$R$5:$R$304,"Won")+COUNTIFS('RFQ Log'!$C$5:$C$304,A79,'RFQ Log'!$R$5:$R$304,"Ordered")+COUNTIFS('RFQ Log'!$C$5:$C$304,A79,'RFQ Log'!$R$5:$R$304,"Shipped")+COUNTIFS('RFQ Log'!$C$5:$C$304,A79,'RFQ Log'!$R$5:$R$304,"Paid"))</f>
        <v/>
      </c>
      <c r="I79" s="69" t="str">
        <f aca="false">IF(OR(A79="",G79=0),"",H79/G79)</f>
        <v/>
      </c>
      <c r="J79" s="68" t="str">
        <f aca="false">IF(A79="","",SUMIFS('RFQ Log'!$O$5:$O$304,'RFQ Log'!$C$5:$C$304,A79,'RFQ Log'!$R$5:$R$304,"Paid"))</f>
        <v/>
      </c>
      <c r="K79" s="68" t="str">
        <f aca="false">IF(A79="","",SUMIFS('RFQ Log'!$P$5:$P$304,'RFQ Log'!$C$5:$C$304,A79,'RFQ Log'!$R$5:$R$304,"Paid"))</f>
        <v/>
      </c>
      <c r="L79" s="52"/>
    </row>
    <row r="80" customFormat="false" ht="15" hidden="false" customHeight="false" outlineLevel="0" collapsed="false">
      <c r="A80" s="52"/>
      <c r="B80" s="52"/>
      <c r="C80" s="52"/>
      <c r="D80" s="52"/>
      <c r="E80" s="52"/>
      <c r="F80" s="52"/>
      <c r="G80" s="67" t="str">
        <f aca="false">IF(A80="","",COUNTIF('RFQ Log'!$C$5:$C$304,A80))</f>
        <v/>
      </c>
      <c r="H80" s="67" t="str">
        <f aca="false">IF(A80="","",COUNTIFS('RFQ Log'!$C$5:$C$304,A80,'RFQ Log'!$R$5:$R$304,"Won")+COUNTIFS('RFQ Log'!$C$5:$C$304,A80,'RFQ Log'!$R$5:$R$304,"Ordered")+COUNTIFS('RFQ Log'!$C$5:$C$304,A80,'RFQ Log'!$R$5:$R$304,"Shipped")+COUNTIFS('RFQ Log'!$C$5:$C$304,A80,'RFQ Log'!$R$5:$R$304,"Paid"))</f>
        <v/>
      </c>
      <c r="I80" s="69" t="str">
        <f aca="false">IF(OR(A80="",G80=0),"",H80/G80)</f>
        <v/>
      </c>
      <c r="J80" s="68" t="str">
        <f aca="false">IF(A80="","",SUMIFS('RFQ Log'!$O$5:$O$304,'RFQ Log'!$C$5:$C$304,A80,'RFQ Log'!$R$5:$R$304,"Paid"))</f>
        <v/>
      </c>
      <c r="K80" s="68" t="str">
        <f aca="false">IF(A80="","",SUMIFS('RFQ Log'!$P$5:$P$304,'RFQ Log'!$C$5:$C$304,A80,'RFQ Log'!$R$5:$R$304,"Paid"))</f>
        <v/>
      </c>
      <c r="L80" s="52"/>
    </row>
    <row r="81" customFormat="false" ht="15" hidden="false" customHeight="false" outlineLevel="0" collapsed="false">
      <c r="A81" s="52"/>
      <c r="B81" s="52"/>
      <c r="C81" s="52"/>
      <c r="D81" s="52"/>
      <c r="E81" s="52"/>
      <c r="F81" s="52"/>
      <c r="G81" s="67" t="str">
        <f aca="false">IF(A81="","",COUNTIF('RFQ Log'!$C$5:$C$304,A81))</f>
        <v/>
      </c>
      <c r="H81" s="67" t="str">
        <f aca="false">IF(A81="","",COUNTIFS('RFQ Log'!$C$5:$C$304,A81,'RFQ Log'!$R$5:$R$304,"Won")+COUNTIFS('RFQ Log'!$C$5:$C$304,A81,'RFQ Log'!$R$5:$R$304,"Ordered")+COUNTIFS('RFQ Log'!$C$5:$C$304,A81,'RFQ Log'!$R$5:$R$304,"Shipped")+COUNTIFS('RFQ Log'!$C$5:$C$304,A81,'RFQ Log'!$R$5:$R$304,"Paid"))</f>
        <v/>
      </c>
      <c r="I81" s="69" t="str">
        <f aca="false">IF(OR(A81="",G81=0),"",H81/G81)</f>
        <v/>
      </c>
      <c r="J81" s="68" t="str">
        <f aca="false">IF(A81="","",SUMIFS('RFQ Log'!$O$5:$O$304,'RFQ Log'!$C$5:$C$304,A81,'RFQ Log'!$R$5:$R$304,"Paid"))</f>
        <v/>
      </c>
      <c r="K81" s="68" t="str">
        <f aca="false">IF(A81="","",SUMIFS('RFQ Log'!$P$5:$P$304,'RFQ Log'!$C$5:$C$304,A81,'RFQ Log'!$R$5:$R$304,"Paid"))</f>
        <v/>
      </c>
      <c r="L81" s="52"/>
    </row>
    <row r="82" customFormat="false" ht="15" hidden="false" customHeight="false" outlineLevel="0" collapsed="false">
      <c r="A82" s="52"/>
      <c r="B82" s="52"/>
      <c r="C82" s="52"/>
      <c r="D82" s="52"/>
      <c r="E82" s="52"/>
      <c r="F82" s="52"/>
      <c r="G82" s="67" t="str">
        <f aca="false">IF(A82="","",COUNTIF('RFQ Log'!$C$5:$C$304,A82))</f>
        <v/>
      </c>
      <c r="H82" s="67" t="str">
        <f aca="false">IF(A82="","",COUNTIFS('RFQ Log'!$C$5:$C$304,A82,'RFQ Log'!$R$5:$R$304,"Won")+COUNTIFS('RFQ Log'!$C$5:$C$304,A82,'RFQ Log'!$R$5:$R$304,"Ordered")+COUNTIFS('RFQ Log'!$C$5:$C$304,A82,'RFQ Log'!$R$5:$R$304,"Shipped")+COUNTIFS('RFQ Log'!$C$5:$C$304,A82,'RFQ Log'!$R$5:$R$304,"Paid"))</f>
        <v/>
      </c>
      <c r="I82" s="69" t="str">
        <f aca="false">IF(OR(A82="",G82=0),"",H82/G82)</f>
        <v/>
      </c>
      <c r="J82" s="68" t="str">
        <f aca="false">IF(A82="","",SUMIFS('RFQ Log'!$O$5:$O$304,'RFQ Log'!$C$5:$C$304,A82,'RFQ Log'!$R$5:$R$304,"Paid"))</f>
        <v/>
      </c>
      <c r="K82" s="68" t="str">
        <f aca="false">IF(A82="","",SUMIFS('RFQ Log'!$P$5:$P$304,'RFQ Log'!$C$5:$C$304,A82,'RFQ Log'!$R$5:$R$304,"Paid"))</f>
        <v/>
      </c>
      <c r="L82" s="52"/>
    </row>
    <row r="83" customFormat="false" ht="15" hidden="false" customHeight="false" outlineLevel="0" collapsed="false">
      <c r="A83" s="52"/>
      <c r="B83" s="52"/>
      <c r="C83" s="52"/>
      <c r="D83" s="52"/>
      <c r="E83" s="52"/>
      <c r="F83" s="52"/>
      <c r="G83" s="67" t="str">
        <f aca="false">IF(A83="","",COUNTIF('RFQ Log'!$C$5:$C$304,A83))</f>
        <v/>
      </c>
      <c r="H83" s="67" t="str">
        <f aca="false">IF(A83="","",COUNTIFS('RFQ Log'!$C$5:$C$304,A83,'RFQ Log'!$R$5:$R$304,"Won")+COUNTIFS('RFQ Log'!$C$5:$C$304,A83,'RFQ Log'!$R$5:$R$304,"Ordered")+COUNTIFS('RFQ Log'!$C$5:$C$304,A83,'RFQ Log'!$R$5:$R$304,"Shipped")+COUNTIFS('RFQ Log'!$C$5:$C$304,A83,'RFQ Log'!$R$5:$R$304,"Paid"))</f>
        <v/>
      </c>
      <c r="I83" s="69" t="str">
        <f aca="false">IF(OR(A83="",G83=0),"",H83/G83)</f>
        <v/>
      </c>
      <c r="J83" s="68" t="str">
        <f aca="false">IF(A83="","",SUMIFS('RFQ Log'!$O$5:$O$304,'RFQ Log'!$C$5:$C$304,A83,'RFQ Log'!$R$5:$R$304,"Paid"))</f>
        <v/>
      </c>
      <c r="K83" s="68" t="str">
        <f aca="false">IF(A83="","",SUMIFS('RFQ Log'!$P$5:$P$304,'RFQ Log'!$C$5:$C$304,A83,'RFQ Log'!$R$5:$R$304,"Paid"))</f>
        <v/>
      </c>
      <c r="L83" s="52"/>
    </row>
    <row r="84" customFormat="false" ht="15" hidden="false" customHeight="false" outlineLevel="0" collapsed="false">
      <c r="A84" s="52"/>
      <c r="B84" s="52"/>
      <c r="C84" s="52"/>
      <c r="D84" s="52"/>
      <c r="E84" s="52"/>
      <c r="F84" s="52"/>
      <c r="G84" s="67" t="str">
        <f aca="false">IF(A84="","",COUNTIF('RFQ Log'!$C$5:$C$304,A84))</f>
        <v/>
      </c>
      <c r="H84" s="67" t="str">
        <f aca="false">IF(A84="","",COUNTIFS('RFQ Log'!$C$5:$C$304,A84,'RFQ Log'!$R$5:$R$304,"Won")+COUNTIFS('RFQ Log'!$C$5:$C$304,A84,'RFQ Log'!$R$5:$R$304,"Ordered")+COUNTIFS('RFQ Log'!$C$5:$C$304,A84,'RFQ Log'!$R$5:$R$304,"Shipped")+COUNTIFS('RFQ Log'!$C$5:$C$304,A84,'RFQ Log'!$R$5:$R$304,"Paid"))</f>
        <v/>
      </c>
      <c r="I84" s="69" t="str">
        <f aca="false">IF(OR(A84="",G84=0),"",H84/G84)</f>
        <v/>
      </c>
      <c r="J84" s="68" t="str">
        <f aca="false">IF(A84="","",SUMIFS('RFQ Log'!$O$5:$O$304,'RFQ Log'!$C$5:$C$304,A84,'RFQ Log'!$R$5:$R$304,"Paid"))</f>
        <v/>
      </c>
      <c r="K84" s="68" t="str">
        <f aca="false">IF(A84="","",SUMIFS('RFQ Log'!$P$5:$P$304,'RFQ Log'!$C$5:$C$304,A84,'RFQ Log'!$R$5:$R$304,"Paid"))</f>
        <v/>
      </c>
      <c r="L84" s="52"/>
    </row>
    <row r="85" customFormat="false" ht="15" hidden="false" customHeight="false" outlineLevel="0" collapsed="false">
      <c r="A85" s="52"/>
      <c r="B85" s="52"/>
      <c r="C85" s="52"/>
      <c r="D85" s="52"/>
      <c r="E85" s="52"/>
      <c r="F85" s="52"/>
      <c r="G85" s="67" t="str">
        <f aca="false">IF(A85="","",COUNTIF('RFQ Log'!$C$5:$C$304,A85))</f>
        <v/>
      </c>
      <c r="H85" s="67" t="str">
        <f aca="false">IF(A85="","",COUNTIFS('RFQ Log'!$C$5:$C$304,A85,'RFQ Log'!$R$5:$R$304,"Won")+COUNTIFS('RFQ Log'!$C$5:$C$304,A85,'RFQ Log'!$R$5:$R$304,"Ordered")+COUNTIFS('RFQ Log'!$C$5:$C$304,A85,'RFQ Log'!$R$5:$R$304,"Shipped")+COUNTIFS('RFQ Log'!$C$5:$C$304,A85,'RFQ Log'!$R$5:$R$304,"Paid"))</f>
        <v/>
      </c>
      <c r="I85" s="69" t="str">
        <f aca="false">IF(OR(A85="",G85=0),"",H85/G85)</f>
        <v/>
      </c>
      <c r="J85" s="68" t="str">
        <f aca="false">IF(A85="","",SUMIFS('RFQ Log'!$O$5:$O$304,'RFQ Log'!$C$5:$C$304,A85,'RFQ Log'!$R$5:$R$304,"Paid"))</f>
        <v/>
      </c>
      <c r="K85" s="68" t="str">
        <f aca="false">IF(A85="","",SUMIFS('RFQ Log'!$P$5:$P$304,'RFQ Log'!$C$5:$C$304,A85,'RFQ Log'!$R$5:$R$304,"Paid"))</f>
        <v/>
      </c>
      <c r="L85" s="52"/>
    </row>
    <row r="86" customFormat="false" ht="15" hidden="false" customHeight="false" outlineLevel="0" collapsed="false">
      <c r="A86" s="52"/>
      <c r="B86" s="52"/>
      <c r="C86" s="52"/>
      <c r="D86" s="52"/>
      <c r="E86" s="52"/>
      <c r="F86" s="52"/>
      <c r="G86" s="67" t="str">
        <f aca="false">IF(A86="","",COUNTIF('RFQ Log'!$C$5:$C$304,A86))</f>
        <v/>
      </c>
      <c r="H86" s="67" t="str">
        <f aca="false">IF(A86="","",COUNTIFS('RFQ Log'!$C$5:$C$304,A86,'RFQ Log'!$R$5:$R$304,"Won")+COUNTIFS('RFQ Log'!$C$5:$C$304,A86,'RFQ Log'!$R$5:$R$304,"Ordered")+COUNTIFS('RFQ Log'!$C$5:$C$304,A86,'RFQ Log'!$R$5:$R$304,"Shipped")+COUNTIFS('RFQ Log'!$C$5:$C$304,A86,'RFQ Log'!$R$5:$R$304,"Paid"))</f>
        <v/>
      </c>
      <c r="I86" s="69" t="str">
        <f aca="false">IF(OR(A86="",G86=0),"",H86/G86)</f>
        <v/>
      </c>
      <c r="J86" s="68" t="str">
        <f aca="false">IF(A86="","",SUMIFS('RFQ Log'!$O$5:$O$304,'RFQ Log'!$C$5:$C$304,A86,'RFQ Log'!$R$5:$R$304,"Paid"))</f>
        <v/>
      </c>
      <c r="K86" s="68" t="str">
        <f aca="false">IF(A86="","",SUMIFS('RFQ Log'!$P$5:$P$304,'RFQ Log'!$C$5:$C$304,A86,'RFQ Log'!$R$5:$R$304,"Paid"))</f>
        <v/>
      </c>
      <c r="L86" s="52"/>
    </row>
    <row r="87" customFormat="false" ht="15" hidden="false" customHeight="false" outlineLevel="0" collapsed="false">
      <c r="A87" s="52"/>
      <c r="B87" s="52"/>
      <c r="C87" s="52"/>
      <c r="D87" s="52"/>
      <c r="E87" s="52"/>
      <c r="F87" s="52"/>
      <c r="G87" s="67" t="str">
        <f aca="false">IF(A87="","",COUNTIF('RFQ Log'!$C$5:$C$304,A87))</f>
        <v/>
      </c>
      <c r="H87" s="67" t="str">
        <f aca="false">IF(A87="","",COUNTIFS('RFQ Log'!$C$5:$C$304,A87,'RFQ Log'!$R$5:$R$304,"Won")+COUNTIFS('RFQ Log'!$C$5:$C$304,A87,'RFQ Log'!$R$5:$R$304,"Ordered")+COUNTIFS('RFQ Log'!$C$5:$C$304,A87,'RFQ Log'!$R$5:$R$304,"Shipped")+COUNTIFS('RFQ Log'!$C$5:$C$304,A87,'RFQ Log'!$R$5:$R$304,"Paid"))</f>
        <v/>
      </c>
      <c r="I87" s="69" t="str">
        <f aca="false">IF(OR(A87="",G87=0),"",H87/G87)</f>
        <v/>
      </c>
      <c r="J87" s="68" t="str">
        <f aca="false">IF(A87="","",SUMIFS('RFQ Log'!$O$5:$O$304,'RFQ Log'!$C$5:$C$304,A87,'RFQ Log'!$R$5:$R$304,"Paid"))</f>
        <v/>
      </c>
      <c r="K87" s="68" t="str">
        <f aca="false">IF(A87="","",SUMIFS('RFQ Log'!$P$5:$P$304,'RFQ Log'!$C$5:$C$304,A87,'RFQ Log'!$R$5:$R$304,"Paid"))</f>
        <v/>
      </c>
      <c r="L87" s="52"/>
    </row>
    <row r="88" customFormat="false" ht="15" hidden="false" customHeight="false" outlineLevel="0" collapsed="false">
      <c r="A88" s="52"/>
      <c r="B88" s="52"/>
      <c r="C88" s="52"/>
      <c r="D88" s="52"/>
      <c r="E88" s="52"/>
      <c r="F88" s="52"/>
      <c r="G88" s="67" t="str">
        <f aca="false">IF(A88="","",COUNTIF('RFQ Log'!$C$5:$C$304,A88))</f>
        <v/>
      </c>
      <c r="H88" s="67" t="str">
        <f aca="false">IF(A88="","",COUNTIFS('RFQ Log'!$C$5:$C$304,A88,'RFQ Log'!$R$5:$R$304,"Won")+COUNTIFS('RFQ Log'!$C$5:$C$304,A88,'RFQ Log'!$R$5:$R$304,"Ordered")+COUNTIFS('RFQ Log'!$C$5:$C$304,A88,'RFQ Log'!$R$5:$R$304,"Shipped")+COUNTIFS('RFQ Log'!$C$5:$C$304,A88,'RFQ Log'!$R$5:$R$304,"Paid"))</f>
        <v/>
      </c>
      <c r="I88" s="69" t="str">
        <f aca="false">IF(OR(A88="",G88=0),"",H88/G88)</f>
        <v/>
      </c>
      <c r="J88" s="68" t="str">
        <f aca="false">IF(A88="","",SUMIFS('RFQ Log'!$O$5:$O$304,'RFQ Log'!$C$5:$C$304,A88,'RFQ Log'!$R$5:$R$304,"Paid"))</f>
        <v/>
      </c>
      <c r="K88" s="68" t="str">
        <f aca="false">IF(A88="","",SUMIFS('RFQ Log'!$P$5:$P$304,'RFQ Log'!$C$5:$C$304,A88,'RFQ Log'!$R$5:$R$304,"Paid"))</f>
        <v/>
      </c>
      <c r="L88" s="52"/>
    </row>
    <row r="89" customFormat="false" ht="15" hidden="false" customHeight="false" outlineLevel="0" collapsed="false">
      <c r="A89" s="52"/>
      <c r="B89" s="52"/>
      <c r="C89" s="52"/>
      <c r="D89" s="52"/>
      <c r="E89" s="52"/>
      <c r="F89" s="52"/>
      <c r="G89" s="67" t="str">
        <f aca="false">IF(A89="","",COUNTIF('RFQ Log'!$C$5:$C$304,A89))</f>
        <v/>
      </c>
      <c r="H89" s="67" t="str">
        <f aca="false">IF(A89="","",COUNTIFS('RFQ Log'!$C$5:$C$304,A89,'RFQ Log'!$R$5:$R$304,"Won")+COUNTIFS('RFQ Log'!$C$5:$C$304,A89,'RFQ Log'!$R$5:$R$304,"Ordered")+COUNTIFS('RFQ Log'!$C$5:$C$304,A89,'RFQ Log'!$R$5:$R$304,"Shipped")+COUNTIFS('RFQ Log'!$C$5:$C$304,A89,'RFQ Log'!$R$5:$R$304,"Paid"))</f>
        <v/>
      </c>
      <c r="I89" s="69" t="str">
        <f aca="false">IF(OR(A89="",G89=0),"",H89/G89)</f>
        <v/>
      </c>
      <c r="J89" s="68" t="str">
        <f aca="false">IF(A89="","",SUMIFS('RFQ Log'!$O$5:$O$304,'RFQ Log'!$C$5:$C$304,A89,'RFQ Log'!$R$5:$R$304,"Paid"))</f>
        <v/>
      </c>
      <c r="K89" s="68" t="str">
        <f aca="false">IF(A89="","",SUMIFS('RFQ Log'!$P$5:$P$304,'RFQ Log'!$C$5:$C$304,A89,'RFQ Log'!$R$5:$R$304,"Paid"))</f>
        <v/>
      </c>
      <c r="L89" s="52"/>
    </row>
    <row r="90" customFormat="false" ht="15" hidden="false" customHeight="false" outlineLevel="0" collapsed="false">
      <c r="A90" s="52"/>
      <c r="B90" s="52"/>
      <c r="C90" s="52"/>
      <c r="D90" s="52"/>
      <c r="E90" s="52"/>
      <c r="F90" s="52"/>
      <c r="G90" s="67" t="str">
        <f aca="false">IF(A90="","",COUNTIF('RFQ Log'!$C$5:$C$304,A90))</f>
        <v/>
      </c>
      <c r="H90" s="67" t="str">
        <f aca="false">IF(A90="","",COUNTIFS('RFQ Log'!$C$5:$C$304,A90,'RFQ Log'!$R$5:$R$304,"Won")+COUNTIFS('RFQ Log'!$C$5:$C$304,A90,'RFQ Log'!$R$5:$R$304,"Ordered")+COUNTIFS('RFQ Log'!$C$5:$C$304,A90,'RFQ Log'!$R$5:$R$304,"Shipped")+COUNTIFS('RFQ Log'!$C$5:$C$304,A90,'RFQ Log'!$R$5:$R$304,"Paid"))</f>
        <v/>
      </c>
      <c r="I90" s="69" t="str">
        <f aca="false">IF(OR(A90="",G90=0),"",H90/G90)</f>
        <v/>
      </c>
      <c r="J90" s="68" t="str">
        <f aca="false">IF(A90="","",SUMIFS('RFQ Log'!$O$5:$O$304,'RFQ Log'!$C$5:$C$304,A90,'RFQ Log'!$R$5:$R$304,"Paid"))</f>
        <v/>
      </c>
      <c r="K90" s="68" t="str">
        <f aca="false">IF(A90="","",SUMIFS('RFQ Log'!$P$5:$P$304,'RFQ Log'!$C$5:$C$304,A90,'RFQ Log'!$R$5:$R$304,"Paid"))</f>
        <v/>
      </c>
      <c r="L90" s="52"/>
    </row>
    <row r="91" customFormat="false" ht="15" hidden="false" customHeight="false" outlineLevel="0" collapsed="false">
      <c r="A91" s="52"/>
      <c r="B91" s="52"/>
      <c r="C91" s="52"/>
      <c r="D91" s="52"/>
      <c r="E91" s="52"/>
      <c r="F91" s="52"/>
      <c r="G91" s="67" t="str">
        <f aca="false">IF(A91="","",COUNTIF('RFQ Log'!$C$5:$C$304,A91))</f>
        <v/>
      </c>
      <c r="H91" s="67" t="str">
        <f aca="false">IF(A91="","",COUNTIFS('RFQ Log'!$C$5:$C$304,A91,'RFQ Log'!$R$5:$R$304,"Won")+COUNTIFS('RFQ Log'!$C$5:$C$304,A91,'RFQ Log'!$R$5:$R$304,"Ordered")+COUNTIFS('RFQ Log'!$C$5:$C$304,A91,'RFQ Log'!$R$5:$R$304,"Shipped")+COUNTIFS('RFQ Log'!$C$5:$C$304,A91,'RFQ Log'!$R$5:$R$304,"Paid"))</f>
        <v/>
      </c>
      <c r="I91" s="69" t="str">
        <f aca="false">IF(OR(A91="",G91=0),"",H91/G91)</f>
        <v/>
      </c>
      <c r="J91" s="68" t="str">
        <f aca="false">IF(A91="","",SUMIFS('RFQ Log'!$O$5:$O$304,'RFQ Log'!$C$5:$C$304,A91,'RFQ Log'!$R$5:$R$304,"Paid"))</f>
        <v/>
      </c>
      <c r="K91" s="68" t="str">
        <f aca="false">IF(A91="","",SUMIFS('RFQ Log'!$P$5:$P$304,'RFQ Log'!$C$5:$C$304,A91,'RFQ Log'!$R$5:$R$304,"Paid"))</f>
        <v/>
      </c>
      <c r="L91" s="52"/>
    </row>
    <row r="92" customFormat="false" ht="15" hidden="false" customHeight="false" outlineLevel="0" collapsed="false">
      <c r="A92" s="52"/>
      <c r="B92" s="52"/>
      <c r="C92" s="52"/>
      <c r="D92" s="52"/>
      <c r="E92" s="52"/>
      <c r="F92" s="52"/>
      <c r="G92" s="67" t="str">
        <f aca="false">IF(A92="","",COUNTIF('RFQ Log'!$C$5:$C$304,A92))</f>
        <v/>
      </c>
      <c r="H92" s="67" t="str">
        <f aca="false">IF(A92="","",COUNTIFS('RFQ Log'!$C$5:$C$304,A92,'RFQ Log'!$R$5:$R$304,"Won")+COUNTIFS('RFQ Log'!$C$5:$C$304,A92,'RFQ Log'!$R$5:$R$304,"Ordered")+COUNTIFS('RFQ Log'!$C$5:$C$304,A92,'RFQ Log'!$R$5:$R$304,"Shipped")+COUNTIFS('RFQ Log'!$C$5:$C$304,A92,'RFQ Log'!$R$5:$R$304,"Paid"))</f>
        <v/>
      </c>
      <c r="I92" s="69" t="str">
        <f aca="false">IF(OR(A92="",G92=0),"",H92/G92)</f>
        <v/>
      </c>
      <c r="J92" s="68" t="str">
        <f aca="false">IF(A92="","",SUMIFS('RFQ Log'!$O$5:$O$304,'RFQ Log'!$C$5:$C$304,A92,'RFQ Log'!$R$5:$R$304,"Paid"))</f>
        <v/>
      </c>
      <c r="K92" s="68" t="str">
        <f aca="false">IF(A92="","",SUMIFS('RFQ Log'!$P$5:$P$304,'RFQ Log'!$C$5:$C$304,A92,'RFQ Log'!$R$5:$R$304,"Paid"))</f>
        <v/>
      </c>
      <c r="L92" s="52"/>
    </row>
    <row r="93" customFormat="false" ht="15" hidden="false" customHeight="false" outlineLevel="0" collapsed="false">
      <c r="A93" s="52"/>
      <c r="B93" s="52"/>
      <c r="C93" s="52"/>
      <c r="D93" s="52"/>
      <c r="E93" s="52"/>
      <c r="F93" s="52"/>
      <c r="G93" s="67" t="str">
        <f aca="false">IF(A93="","",COUNTIF('RFQ Log'!$C$5:$C$304,A93))</f>
        <v/>
      </c>
      <c r="H93" s="67" t="str">
        <f aca="false">IF(A93="","",COUNTIFS('RFQ Log'!$C$5:$C$304,A93,'RFQ Log'!$R$5:$R$304,"Won")+COUNTIFS('RFQ Log'!$C$5:$C$304,A93,'RFQ Log'!$R$5:$R$304,"Ordered")+COUNTIFS('RFQ Log'!$C$5:$C$304,A93,'RFQ Log'!$R$5:$R$304,"Shipped")+COUNTIFS('RFQ Log'!$C$5:$C$304,A93,'RFQ Log'!$R$5:$R$304,"Paid"))</f>
        <v/>
      </c>
      <c r="I93" s="69" t="str">
        <f aca="false">IF(OR(A93="",G93=0),"",H93/G93)</f>
        <v/>
      </c>
      <c r="J93" s="68" t="str">
        <f aca="false">IF(A93="","",SUMIFS('RFQ Log'!$O$5:$O$304,'RFQ Log'!$C$5:$C$304,A93,'RFQ Log'!$R$5:$R$304,"Paid"))</f>
        <v/>
      </c>
      <c r="K93" s="68" t="str">
        <f aca="false">IF(A93="","",SUMIFS('RFQ Log'!$P$5:$P$304,'RFQ Log'!$C$5:$C$304,A93,'RFQ Log'!$R$5:$R$304,"Paid"))</f>
        <v/>
      </c>
      <c r="L93" s="52"/>
    </row>
    <row r="94" customFormat="false" ht="15" hidden="false" customHeight="false" outlineLevel="0" collapsed="false">
      <c r="A94" s="52"/>
      <c r="B94" s="52"/>
      <c r="C94" s="52"/>
      <c r="D94" s="52"/>
      <c r="E94" s="52"/>
      <c r="F94" s="52"/>
      <c r="G94" s="67" t="str">
        <f aca="false">IF(A94="","",COUNTIF('RFQ Log'!$C$5:$C$304,A94))</f>
        <v/>
      </c>
      <c r="H94" s="67" t="str">
        <f aca="false">IF(A94="","",COUNTIFS('RFQ Log'!$C$5:$C$304,A94,'RFQ Log'!$R$5:$R$304,"Won")+COUNTIFS('RFQ Log'!$C$5:$C$304,A94,'RFQ Log'!$R$5:$R$304,"Ordered")+COUNTIFS('RFQ Log'!$C$5:$C$304,A94,'RFQ Log'!$R$5:$R$304,"Shipped")+COUNTIFS('RFQ Log'!$C$5:$C$304,A94,'RFQ Log'!$R$5:$R$304,"Paid"))</f>
        <v/>
      </c>
      <c r="I94" s="69" t="str">
        <f aca="false">IF(OR(A94="",G94=0),"",H94/G94)</f>
        <v/>
      </c>
      <c r="J94" s="68" t="str">
        <f aca="false">IF(A94="","",SUMIFS('RFQ Log'!$O$5:$O$304,'RFQ Log'!$C$5:$C$304,A94,'RFQ Log'!$R$5:$R$304,"Paid"))</f>
        <v/>
      </c>
      <c r="K94" s="68" t="str">
        <f aca="false">IF(A94="","",SUMIFS('RFQ Log'!$P$5:$P$304,'RFQ Log'!$C$5:$C$304,A94,'RFQ Log'!$R$5:$R$304,"Paid"))</f>
        <v/>
      </c>
      <c r="L94" s="52"/>
    </row>
    <row r="95" customFormat="false" ht="15" hidden="false" customHeight="false" outlineLevel="0" collapsed="false">
      <c r="A95" s="52"/>
      <c r="B95" s="52"/>
      <c r="C95" s="52"/>
      <c r="D95" s="52"/>
      <c r="E95" s="52"/>
      <c r="F95" s="52"/>
      <c r="G95" s="67" t="str">
        <f aca="false">IF(A95="","",COUNTIF('RFQ Log'!$C$5:$C$304,A95))</f>
        <v/>
      </c>
      <c r="H95" s="67" t="str">
        <f aca="false">IF(A95="","",COUNTIFS('RFQ Log'!$C$5:$C$304,A95,'RFQ Log'!$R$5:$R$304,"Won")+COUNTIFS('RFQ Log'!$C$5:$C$304,A95,'RFQ Log'!$R$5:$R$304,"Ordered")+COUNTIFS('RFQ Log'!$C$5:$C$304,A95,'RFQ Log'!$R$5:$R$304,"Shipped")+COUNTIFS('RFQ Log'!$C$5:$C$304,A95,'RFQ Log'!$R$5:$R$304,"Paid"))</f>
        <v/>
      </c>
      <c r="I95" s="69" t="str">
        <f aca="false">IF(OR(A95="",G95=0),"",H95/G95)</f>
        <v/>
      </c>
      <c r="J95" s="68" t="str">
        <f aca="false">IF(A95="","",SUMIFS('RFQ Log'!$O$5:$O$304,'RFQ Log'!$C$5:$C$304,A95,'RFQ Log'!$R$5:$R$304,"Paid"))</f>
        <v/>
      </c>
      <c r="K95" s="68" t="str">
        <f aca="false">IF(A95="","",SUMIFS('RFQ Log'!$P$5:$P$304,'RFQ Log'!$C$5:$C$304,A95,'RFQ Log'!$R$5:$R$304,"Paid"))</f>
        <v/>
      </c>
      <c r="L95" s="52"/>
    </row>
    <row r="96" customFormat="false" ht="15" hidden="false" customHeight="false" outlineLevel="0" collapsed="false">
      <c r="A96" s="52"/>
      <c r="B96" s="52"/>
      <c r="C96" s="52"/>
      <c r="D96" s="52"/>
      <c r="E96" s="52"/>
      <c r="F96" s="52"/>
      <c r="G96" s="67" t="str">
        <f aca="false">IF(A96="","",COUNTIF('RFQ Log'!$C$5:$C$304,A96))</f>
        <v/>
      </c>
      <c r="H96" s="67" t="str">
        <f aca="false">IF(A96="","",COUNTIFS('RFQ Log'!$C$5:$C$304,A96,'RFQ Log'!$R$5:$R$304,"Won")+COUNTIFS('RFQ Log'!$C$5:$C$304,A96,'RFQ Log'!$R$5:$R$304,"Ordered")+COUNTIFS('RFQ Log'!$C$5:$C$304,A96,'RFQ Log'!$R$5:$R$304,"Shipped")+COUNTIFS('RFQ Log'!$C$5:$C$304,A96,'RFQ Log'!$R$5:$R$304,"Paid"))</f>
        <v/>
      </c>
      <c r="I96" s="69" t="str">
        <f aca="false">IF(OR(A96="",G96=0),"",H96/G96)</f>
        <v/>
      </c>
      <c r="J96" s="68" t="str">
        <f aca="false">IF(A96="","",SUMIFS('RFQ Log'!$O$5:$O$304,'RFQ Log'!$C$5:$C$304,A96,'RFQ Log'!$R$5:$R$304,"Paid"))</f>
        <v/>
      </c>
      <c r="K96" s="68" t="str">
        <f aca="false">IF(A96="","",SUMIFS('RFQ Log'!$P$5:$P$304,'RFQ Log'!$C$5:$C$304,A96,'RFQ Log'!$R$5:$R$304,"Paid"))</f>
        <v/>
      </c>
      <c r="L96" s="52"/>
    </row>
    <row r="97" customFormat="false" ht="15" hidden="false" customHeight="false" outlineLevel="0" collapsed="false">
      <c r="A97" s="52"/>
      <c r="B97" s="52"/>
      <c r="C97" s="52"/>
      <c r="D97" s="52"/>
      <c r="E97" s="52"/>
      <c r="F97" s="52"/>
      <c r="G97" s="67" t="str">
        <f aca="false">IF(A97="","",COUNTIF('RFQ Log'!$C$5:$C$304,A97))</f>
        <v/>
      </c>
      <c r="H97" s="67" t="str">
        <f aca="false">IF(A97="","",COUNTIFS('RFQ Log'!$C$5:$C$304,A97,'RFQ Log'!$R$5:$R$304,"Won")+COUNTIFS('RFQ Log'!$C$5:$C$304,A97,'RFQ Log'!$R$5:$R$304,"Ordered")+COUNTIFS('RFQ Log'!$C$5:$C$304,A97,'RFQ Log'!$R$5:$R$304,"Shipped")+COUNTIFS('RFQ Log'!$C$5:$C$304,A97,'RFQ Log'!$R$5:$R$304,"Paid"))</f>
        <v/>
      </c>
      <c r="I97" s="69" t="str">
        <f aca="false">IF(OR(A97="",G97=0),"",H97/G97)</f>
        <v/>
      </c>
      <c r="J97" s="68" t="str">
        <f aca="false">IF(A97="","",SUMIFS('RFQ Log'!$O$5:$O$304,'RFQ Log'!$C$5:$C$304,A97,'RFQ Log'!$R$5:$R$304,"Paid"))</f>
        <v/>
      </c>
      <c r="K97" s="68" t="str">
        <f aca="false">IF(A97="","",SUMIFS('RFQ Log'!$P$5:$P$304,'RFQ Log'!$C$5:$C$304,A97,'RFQ Log'!$R$5:$R$304,"Paid"))</f>
        <v/>
      </c>
      <c r="L97" s="52"/>
    </row>
    <row r="98" customFormat="false" ht="15" hidden="false" customHeight="false" outlineLevel="0" collapsed="false">
      <c r="A98" s="52"/>
      <c r="B98" s="52"/>
      <c r="C98" s="52"/>
      <c r="D98" s="52"/>
      <c r="E98" s="52"/>
      <c r="F98" s="52"/>
      <c r="G98" s="67" t="str">
        <f aca="false">IF(A98="","",COUNTIF('RFQ Log'!$C$5:$C$304,A98))</f>
        <v/>
      </c>
      <c r="H98" s="67" t="str">
        <f aca="false">IF(A98="","",COUNTIFS('RFQ Log'!$C$5:$C$304,A98,'RFQ Log'!$R$5:$R$304,"Won")+COUNTIFS('RFQ Log'!$C$5:$C$304,A98,'RFQ Log'!$R$5:$R$304,"Ordered")+COUNTIFS('RFQ Log'!$C$5:$C$304,A98,'RFQ Log'!$R$5:$R$304,"Shipped")+COUNTIFS('RFQ Log'!$C$5:$C$304,A98,'RFQ Log'!$R$5:$R$304,"Paid"))</f>
        <v/>
      </c>
      <c r="I98" s="69" t="str">
        <f aca="false">IF(OR(A98="",G98=0),"",H98/G98)</f>
        <v/>
      </c>
      <c r="J98" s="68" t="str">
        <f aca="false">IF(A98="","",SUMIFS('RFQ Log'!$O$5:$O$304,'RFQ Log'!$C$5:$C$304,A98,'RFQ Log'!$R$5:$R$304,"Paid"))</f>
        <v/>
      </c>
      <c r="K98" s="68" t="str">
        <f aca="false">IF(A98="","",SUMIFS('RFQ Log'!$P$5:$P$304,'RFQ Log'!$C$5:$C$304,A98,'RFQ Log'!$R$5:$R$304,"Paid"))</f>
        <v/>
      </c>
      <c r="L98" s="52"/>
    </row>
    <row r="99" customFormat="false" ht="15" hidden="false" customHeight="false" outlineLevel="0" collapsed="false">
      <c r="A99" s="52"/>
      <c r="B99" s="52"/>
      <c r="C99" s="52"/>
      <c r="D99" s="52"/>
      <c r="E99" s="52"/>
      <c r="F99" s="52"/>
      <c r="G99" s="67" t="str">
        <f aca="false">IF(A99="","",COUNTIF('RFQ Log'!$C$5:$C$304,A99))</f>
        <v/>
      </c>
      <c r="H99" s="67" t="str">
        <f aca="false">IF(A99="","",COUNTIFS('RFQ Log'!$C$5:$C$304,A99,'RFQ Log'!$R$5:$R$304,"Won")+COUNTIFS('RFQ Log'!$C$5:$C$304,A99,'RFQ Log'!$R$5:$R$304,"Ordered")+COUNTIFS('RFQ Log'!$C$5:$C$304,A99,'RFQ Log'!$R$5:$R$304,"Shipped")+COUNTIFS('RFQ Log'!$C$5:$C$304,A99,'RFQ Log'!$R$5:$R$304,"Paid"))</f>
        <v/>
      </c>
      <c r="I99" s="69" t="str">
        <f aca="false">IF(OR(A99="",G99=0),"",H99/G99)</f>
        <v/>
      </c>
      <c r="J99" s="68" t="str">
        <f aca="false">IF(A99="","",SUMIFS('RFQ Log'!$O$5:$O$304,'RFQ Log'!$C$5:$C$304,A99,'RFQ Log'!$R$5:$R$304,"Paid"))</f>
        <v/>
      </c>
      <c r="K99" s="68" t="str">
        <f aca="false">IF(A99="","",SUMIFS('RFQ Log'!$P$5:$P$304,'RFQ Log'!$C$5:$C$304,A99,'RFQ Log'!$R$5:$R$304,"Paid"))</f>
        <v/>
      </c>
      <c r="L99" s="52"/>
    </row>
    <row r="100" customFormat="false" ht="15" hidden="false" customHeight="false" outlineLevel="0" collapsed="false">
      <c r="A100" s="52"/>
      <c r="B100" s="52"/>
      <c r="C100" s="52"/>
      <c r="D100" s="52"/>
      <c r="E100" s="52"/>
      <c r="F100" s="52"/>
      <c r="G100" s="67" t="str">
        <f aca="false">IF(A100="","",COUNTIF('RFQ Log'!$C$5:$C$304,A100))</f>
        <v/>
      </c>
      <c r="H100" s="67" t="str">
        <f aca="false">IF(A100="","",COUNTIFS('RFQ Log'!$C$5:$C$304,A100,'RFQ Log'!$R$5:$R$304,"Won")+COUNTIFS('RFQ Log'!$C$5:$C$304,A100,'RFQ Log'!$R$5:$R$304,"Ordered")+COUNTIFS('RFQ Log'!$C$5:$C$304,A100,'RFQ Log'!$R$5:$R$304,"Shipped")+COUNTIFS('RFQ Log'!$C$5:$C$304,A100,'RFQ Log'!$R$5:$R$304,"Paid"))</f>
        <v/>
      </c>
      <c r="I100" s="69" t="str">
        <f aca="false">IF(OR(A100="",G100=0),"",H100/G100)</f>
        <v/>
      </c>
      <c r="J100" s="68" t="str">
        <f aca="false">IF(A100="","",SUMIFS('RFQ Log'!$O$5:$O$304,'RFQ Log'!$C$5:$C$304,A100,'RFQ Log'!$R$5:$R$304,"Paid"))</f>
        <v/>
      </c>
      <c r="K100" s="68" t="str">
        <f aca="false">IF(A100="","",SUMIFS('RFQ Log'!$P$5:$P$304,'RFQ Log'!$C$5:$C$304,A100,'RFQ Log'!$R$5:$R$304,"Paid"))</f>
        <v/>
      </c>
      <c r="L100" s="52"/>
    </row>
    <row r="101" customFormat="false" ht="15" hidden="false" customHeight="false" outlineLevel="0" collapsed="false">
      <c r="A101" s="52"/>
      <c r="B101" s="52"/>
      <c r="C101" s="52"/>
      <c r="D101" s="52"/>
      <c r="E101" s="52"/>
      <c r="F101" s="52"/>
      <c r="G101" s="67" t="str">
        <f aca="false">IF(A101="","",COUNTIF('RFQ Log'!$C$5:$C$304,A101))</f>
        <v/>
      </c>
      <c r="H101" s="67" t="str">
        <f aca="false">IF(A101="","",COUNTIFS('RFQ Log'!$C$5:$C$304,A101,'RFQ Log'!$R$5:$R$304,"Won")+COUNTIFS('RFQ Log'!$C$5:$C$304,A101,'RFQ Log'!$R$5:$R$304,"Ordered")+COUNTIFS('RFQ Log'!$C$5:$C$304,A101,'RFQ Log'!$R$5:$R$304,"Shipped")+COUNTIFS('RFQ Log'!$C$5:$C$304,A101,'RFQ Log'!$R$5:$R$304,"Paid"))</f>
        <v/>
      </c>
      <c r="I101" s="69" t="str">
        <f aca="false">IF(OR(A101="",G101=0),"",H101/G101)</f>
        <v/>
      </c>
      <c r="J101" s="68" t="str">
        <f aca="false">IF(A101="","",SUMIFS('RFQ Log'!$O$5:$O$304,'RFQ Log'!$C$5:$C$304,A101,'RFQ Log'!$R$5:$R$304,"Paid"))</f>
        <v/>
      </c>
      <c r="K101" s="68" t="str">
        <f aca="false">IF(A101="","",SUMIFS('RFQ Log'!$P$5:$P$304,'RFQ Log'!$C$5:$C$304,A101,'RFQ Log'!$R$5:$R$304,"Paid"))</f>
        <v/>
      </c>
      <c r="L101" s="52"/>
    </row>
    <row r="102" customFormat="false" ht="15" hidden="false" customHeight="false" outlineLevel="0" collapsed="false">
      <c r="A102" s="52"/>
      <c r="B102" s="52"/>
      <c r="C102" s="52"/>
      <c r="D102" s="52"/>
      <c r="E102" s="52"/>
      <c r="F102" s="52"/>
      <c r="G102" s="67" t="str">
        <f aca="false">IF(A102="","",COUNTIF('RFQ Log'!$C$5:$C$304,A102))</f>
        <v/>
      </c>
      <c r="H102" s="67" t="str">
        <f aca="false">IF(A102="","",COUNTIFS('RFQ Log'!$C$5:$C$304,A102,'RFQ Log'!$R$5:$R$304,"Won")+COUNTIFS('RFQ Log'!$C$5:$C$304,A102,'RFQ Log'!$R$5:$R$304,"Ordered")+COUNTIFS('RFQ Log'!$C$5:$C$304,A102,'RFQ Log'!$R$5:$R$304,"Shipped")+COUNTIFS('RFQ Log'!$C$5:$C$304,A102,'RFQ Log'!$R$5:$R$304,"Paid"))</f>
        <v/>
      </c>
      <c r="I102" s="69" t="str">
        <f aca="false">IF(OR(A102="",G102=0),"",H102/G102)</f>
        <v/>
      </c>
      <c r="J102" s="68" t="str">
        <f aca="false">IF(A102="","",SUMIFS('RFQ Log'!$O$5:$O$304,'RFQ Log'!$C$5:$C$304,A102,'RFQ Log'!$R$5:$R$304,"Paid"))</f>
        <v/>
      </c>
      <c r="K102" s="68" t="str">
        <f aca="false">IF(A102="","",SUMIFS('RFQ Log'!$P$5:$P$304,'RFQ Log'!$C$5:$C$304,A102,'RFQ Log'!$R$5:$R$304,"Paid"))</f>
        <v/>
      </c>
      <c r="L102" s="52"/>
    </row>
    <row r="103" customFormat="false" ht="15" hidden="false" customHeight="false" outlineLevel="0" collapsed="false">
      <c r="A103" s="52"/>
      <c r="B103" s="52"/>
      <c r="C103" s="52"/>
      <c r="D103" s="52"/>
      <c r="E103" s="52"/>
      <c r="F103" s="52"/>
      <c r="G103" s="67" t="str">
        <f aca="false">IF(A103="","",COUNTIF('RFQ Log'!$C$5:$C$304,A103))</f>
        <v/>
      </c>
      <c r="H103" s="67" t="str">
        <f aca="false">IF(A103="","",COUNTIFS('RFQ Log'!$C$5:$C$304,A103,'RFQ Log'!$R$5:$R$304,"Won")+COUNTIFS('RFQ Log'!$C$5:$C$304,A103,'RFQ Log'!$R$5:$R$304,"Ordered")+COUNTIFS('RFQ Log'!$C$5:$C$304,A103,'RFQ Log'!$R$5:$R$304,"Shipped")+COUNTIFS('RFQ Log'!$C$5:$C$304,A103,'RFQ Log'!$R$5:$R$304,"Paid"))</f>
        <v/>
      </c>
      <c r="I103" s="69" t="str">
        <f aca="false">IF(OR(A103="",G103=0),"",H103/G103)</f>
        <v/>
      </c>
      <c r="J103" s="68" t="str">
        <f aca="false">IF(A103="","",SUMIFS('RFQ Log'!$O$5:$O$304,'RFQ Log'!$C$5:$C$304,A103,'RFQ Log'!$R$5:$R$304,"Paid"))</f>
        <v/>
      </c>
      <c r="K103" s="68" t="str">
        <f aca="false">IF(A103="","",SUMIFS('RFQ Log'!$P$5:$P$304,'RFQ Log'!$C$5:$C$304,A103,'RFQ Log'!$R$5:$R$304,"Paid"))</f>
        <v/>
      </c>
      <c r="L103" s="52"/>
    </row>
    <row r="104" customFormat="false" ht="15" hidden="false" customHeight="false" outlineLevel="0" collapsed="false">
      <c r="A104" s="52"/>
      <c r="B104" s="52"/>
      <c r="C104" s="52"/>
      <c r="D104" s="52"/>
      <c r="E104" s="52"/>
      <c r="F104" s="52"/>
      <c r="G104" s="67" t="str">
        <f aca="false">IF(A104="","",COUNTIF('RFQ Log'!$C$5:$C$304,A104))</f>
        <v/>
      </c>
      <c r="H104" s="67" t="str">
        <f aca="false">IF(A104="","",COUNTIFS('RFQ Log'!$C$5:$C$304,A104,'RFQ Log'!$R$5:$R$304,"Won")+COUNTIFS('RFQ Log'!$C$5:$C$304,A104,'RFQ Log'!$R$5:$R$304,"Ordered")+COUNTIFS('RFQ Log'!$C$5:$C$304,A104,'RFQ Log'!$R$5:$R$304,"Shipped")+COUNTIFS('RFQ Log'!$C$5:$C$304,A104,'RFQ Log'!$R$5:$R$304,"Paid"))</f>
        <v/>
      </c>
      <c r="I104" s="69" t="str">
        <f aca="false">IF(OR(A104="",G104=0),"",H104/G104)</f>
        <v/>
      </c>
      <c r="J104" s="68" t="str">
        <f aca="false">IF(A104="","",SUMIFS('RFQ Log'!$O$5:$O$304,'RFQ Log'!$C$5:$C$304,A104,'RFQ Log'!$R$5:$R$304,"Paid"))</f>
        <v/>
      </c>
      <c r="K104" s="68" t="str">
        <f aca="false">IF(A104="","",SUMIFS('RFQ Log'!$P$5:$P$304,'RFQ Log'!$C$5:$C$304,A104,'RFQ Log'!$R$5:$R$304,"Paid"))</f>
        <v/>
      </c>
      <c r="L104" s="52"/>
    </row>
    <row r="105" customFormat="false" ht="15" hidden="false" customHeight="false" outlineLevel="0" collapsed="false">
      <c r="A105" s="52"/>
      <c r="B105" s="52"/>
      <c r="C105" s="52"/>
      <c r="D105" s="52"/>
      <c r="E105" s="52"/>
      <c r="F105" s="52"/>
      <c r="G105" s="67" t="str">
        <f aca="false">IF(A105="","",COUNTIF('RFQ Log'!$C$5:$C$304,A105))</f>
        <v/>
      </c>
      <c r="H105" s="67" t="str">
        <f aca="false">IF(A105="","",COUNTIFS('RFQ Log'!$C$5:$C$304,A105,'RFQ Log'!$R$5:$R$304,"Won")+COUNTIFS('RFQ Log'!$C$5:$C$304,A105,'RFQ Log'!$R$5:$R$304,"Ordered")+COUNTIFS('RFQ Log'!$C$5:$C$304,A105,'RFQ Log'!$R$5:$R$304,"Shipped")+COUNTIFS('RFQ Log'!$C$5:$C$304,A105,'RFQ Log'!$R$5:$R$304,"Paid"))</f>
        <v/>
      </c>
      <c r="I105" s="69" t="str">
        <f aca="false">IF(OR(A105="",G105=0),"",H105/G105)</f>
        <v/>
      </c>
      <c r="J105" s="68" t="str">
        <f aca="false">IF(A105="","",SUMIFS('RFQ Log'!$O$5:$O$304,'RFQ Log'!$C$5:$C$304,A105,'RFQ Log'!$R$5:$R$304,"Paid"))</f>
        <v/>
      </c>
      <c r="K105" s="68" t="str">
        <f aca="false">IF(A105="","",SUMIFS('RFQ Log'!$P$5:$P$304,'RFQ Log'!$C$5:$C$304,A105,'RFQ Log'!$R$5:$R$304,"Paid"))</f>
        <v/>
      </c>
      <c r="L105" s="52"/>
    </row>
    <row r="106" customFormat="false" ht="15" hidden="false" customHeight="false" outlineLevel="0" collapsed="false">
      <c r="A106" s="52"/>
      <c r="B106" s="52"/>
      <c r="C106" s="52"/>
      <c r="D106" s="52"/>
      <c r="E106" s="52"/>
      <c r="F106" s="52"/>
      <c r="G106" s="67" t="str">
        <f aca="false">IF(A106="","",COUNTIF('RFQ Log'!$C$5:$C$304,A106))</f>
        <v/>
      </c>
      <c r="H106" s="67" t="str">
        <f aca="false">IF(A106="","",COUNTIFS('RFQ Log'!$C$5:$C$304,A106,'RFQ Log'!$R$5:$R$304,"Won")+COUNTIFS('RFQ Log'!$C$5:$C$304,A106,'RFQ Log'!$R$5:$R$304,"Ordered")+COUNTIFS('RFQ Log'!$C$5:$C$304,A106,'RFQ Log'!$R$5:$R$304,"Shipped")+COUNTIFS('RFQ Log'!$C$5:$C$304,A106,'RFQ Log'!$R$5:$R$304,"Paid"))</f>
        <v/>
      </c>
      <c r="I106" s="69" t="str">
        <f aca="false">IF(OR(A106="",G106=0),"",H106/G106)</f>
        <v/>
      </c>
      <c r="J106" s="68" t="str">
        <f aca="false">IF(A106="","",SUMIFS('RFQ Log'!$O$5:$O$304,'RFQ Log'!$C$5:$C$304,A106,'RFQ Log'!$R$5:$R$304,"Paid"))</f>
        <v/>
      </c>
      <c r="K106" s="68" t="str">
        <f aca="false">IF(A106="","",SUMIFS('RFQ Log'!$P$5:$P$304,'RFQ Log'!$C$5:$C$304,A106,'RFQ Log'!$R$5:$R$304,"Paid"))</f>
        <v/>
      </c>
      <c r="L106" s="52"/>
    </row>
    <row r="107" customFormat="false" ht="15" hidden="false" customHeight="false" outlineLevel="0" collapsed="false">
      <c r="A107" s="52"/>
      <c r="B107" s="52"/>
      <c r="C107" s="52"/>
      <c r="D107" s="52"/>
      <c r="E107" s="52"/>
      <c r="F107" s="52"/>
      <c r="G107" s="67" t="str">
        <f aca="false">IF(A107="","",COUNTIF('RFQ Log'!$C$5:$C$304,A107))</f>
        <v/>
      </c>
      <c r="H107" s="67" t="str">
        <f aca="false">IF(A107="","",COUNTIFS('RFQ Log'!$C$5:$C$304,A107,'RFQ Log'!$R$5:$R$304,"Won")+COUNTIFS('RFQ Log'!$C$5:$C$304,A107,'RFQ Log'!$R$5:$R$304,"Ordered")+COUNTIFS('RFQ Log'!$C$5:$C$304,A107,'RFQ Log'!$R$5:$R$304,"Shipped")+COUNTIFS('RFQ Log'!$C$5:$C$304,A107,'RFQ Log'!$R$5:$R$304,"Paid"))</f>
        <v/>
      </c>
      <c r="I107" s="69" t="str">
        <f aca="false">IF(OR(A107="",G107=0),"",H107/G107)</f>
        <v/>
      </c>
      <c r="J107" s="68" t="str">
        <f aca="false">IF(A107="","",SUMIFS('RFQ Log'!$O$5:$O$304,'RFQ Log'!$C$5:$C$304,A107,'RFQ Log'!$R$5:$R$304,"Paid"))</f>
        <v/>
      </c>
      <c r="K107" s="68" t="str">
        <f aca="false">IF(A107="","",SUMIFS('RFQ Log'!$P$5:$P$304,'RFQ Log'!$C$5:$C$304,A107,'RFQ Log'!$R$5:$R$304,"Paid"))</f>
        <v/>
      </c>
      <c r="L107" s="52"/>
    </row>
    <row r="108" customFormat="false" ht="15" hidden="false" customHeight="false" outlineLevel="0" collapsed="false">
      <c r="A108" s="52"/>
      <c r="B108" s="52"/>
      <c r="C108" s="52"/>
      <c r="D108" s="52"/>
      <c r="E108" s="52"/>
      <c r="F108" s="52"/>
      <c r="G108" s="67" t="str">
        <f aca="false">IF(A108="","",COUNTIF('RFQ Log'!$C$5:$C$304,A108))</f>
        <v/>
      </c>
      <c r="H108" s="67" t="str">
        <f aca="false">IF(A108="","",COUNTIFS('RFQ Log'!$C$5:$C$304,A108,'RFQ Log'!$R$5:$R$304,"Won")+COUNTIFS('RFQ Log'!$C$5:$C$304,A108,'RFQ Log'!$R$5:$R$304,"Ordered")+COUNTIFS('RFQ Log'!$C$5:$C$304,A108,'RFQ Log'!$R$5:$R$304,"Shipped")+COUNTIFS('RFQ Log'!$C$5:$C$304,A108,'RFQ Log'!$R$5:$R$304,"Paid"))</f>
        <v/>
      </c>
      <c r="I108" s="69" t="str">
        <f aca="false">IF(OR(A108="",G108=0),"",H108/G108)</f>
        <v/>
      </c>
      <c r="J108" s="68" t="str">
        <f aca="false">IF(A108="","",SUMIFS('RFQ Log'!$O$5:$O$304,'RFQ Log'!$C$5:$C$304,A108,'RFQ Log'!$R$5:$R$304,"Paid"))</f>
        <v/>
      </c>
      <c r="K108" s="68" t="str">
        <f aca="false">IF(A108="","",SUMIFS('RFQ Log'!$P$5:$P$304,'RFQ Log'!$C$5:$C$304,A108,'RFQ Log'!$R$5:$R$304,"Paid"))</f>
        <v/>
      </c>
      <c r="L108" s="52"/>
    </row>
    <row r="109" customFormat="false" ht="15" hidden="false" customHeight="false" outlineLevel="0" collapsed="false">
      <c r="A109" s="52"/>
      <c r="B109" s="52"/>
      <c r="C109" s="52"/>
      <c r="D109" s="52"/>
      <c r="E109" s="52"/>
      <c r="F109" s="52"/>
      <c r="G109" s="67" t="str">
        <f aca="false">IF(A109="","",COUNTIF('RFQ Log'!$C$5:$C$304,A109))</f>
        <v/>
      </c>
      <c r="H109" s="67" t="str">
        <f aca="false">IF(A109="","",COUNTIFS('RFQ Log'!$C$5:$C$304,A109,'RFQ Log'!$R$5:$R$304,"Won")+COUNTIFS('RFQ Log'!$C$5:$C$304,A109,'RFQ Log'!$R$5:$R$304,"Ordered")+COUNTIFS('RFQ Log'!$C$5:$C$304,A109,'RFQ Log'!$R$5:$R$304,"Shipped")+COUNTIFS('RFQ Log'!$C$5:$C$304,A109,'RFQ Log'!$R$5:$R$304,"Paid"))</f>
        <v/>
      </c>
      <c r="I109" s="69" t="str">
        <f aca="false">IF(OR(A109="",G109=0),"",H109/G109)</f>
        <v/>
      </c>
      <c r="J109" s="68" t="str">
        <f aca="false">IF(A109="","",SUMIFS('RFQ Log'!$O$5:$O$304,'RFQ Log'!$C$5:$C$304,A109,'RFQ Log'!$R$5:$R$304,"Paid"))</f>
        <v/>
      </c>
      <c r="K109" s="68" t="str">
        <f aca="false">IF(A109="","",SUMIFS('RFQ Log'!$P$5:$P$304,'RFQ Log'!$C$5:$C$304,A109,'RFQ Log'!$R$5:$R$304,"Paid"))</f>
        <v/>
      </c>
      <c r="L109" s="52"/>
    </row>
    <row r="110" customFormat="false" ht="15" hidden="false" customHeight="false" outlineLevel="0" collapsed="false">
      <c r="A110" s="52"/>
      <c r="B110" s="52"/>
      <c r="C110" s="52"/>
      <c r="D110" s="52"/>
      <c r="E110" s="52"/>
      <c r="F110" s="52"/>
      <c r="G110" s="67" t="str">
        <f aca="false">IF(A110="","",COUNTIF('RFQ Log'!$C$5:$C$304,A110))</f>
        <v/>
      </c>
      <c r="H110" s="67" t="str">
        <f aca="false">IF(A110="","",COUNTIFS('RFQ Log'!$C$5:$C$304,A110,'RFQ Log'!$R$5:$R$304,"Won")+COUNTIFS('RFQ Log'!$C$5:$C$304,A110,'RFQ Log'!$R$5:$R$304,"Ordered")+COUNTIFS('RFQ Log'!$C$5:$C$304,A110,'RFQ Log'!$R$5:$R$304,"Shipped")+COUNTIFS('RFQ Log'!$C$5:$C$304,A110,'RFQ Log'!$R$5:$R$304,"Paid"))</f>
        <v/>
      </c>
      <c r="I110" s="69" t="str">
        <f aca="false">IF(OR(A110="",G110=0),"",H110/G110)</f>
        <v/>
      </c>
      <c r="J110" s="68" t="str">
        <f aca="false">IF(A110="","",SUMIFS('RFQ Log'!$O$5:$O$304,'RFQ Log'!$C$5:$C$304,A110,'RFQ Log'!$R$5:$R$304,"Paid"))</f>
        <v/>
      </c>
      <c r="K110" s="68" t="str">
        <f aca="false">IF(A110="","",SUMIFS('RFQ Log'!$P$5:$P$304,'RFQ Log'!$C$5:$C$304,A110,'RFQ Log'!$R$5:$R$304,"Paid"))</f>
        <v/>
      </c>
      <c r="L110" s="52"/>
    </row>
    <row r="111" customFormat="false" ht="15" hidden="false" customHeight="false" outlineLevel="0" collapsed="false">
      <c r="A111" s="52"/>
      <c r="B111" s="52"/>
      <c r="C111" s="52"/>
      <c r="D111" s="52"/>
      <c r="E111" s="52"/>
      <c r="F111" s="52"/>
      <c r="G111" s="67" t="str">
        <f aca="false">IF(A111="","",COUNTIF('RFQ Log'!$C$5:$C$304,A111))</f>
        <v/>
      </c>
      <c r="H111" s="67" t="str">
        <f aca="false">IF(A111="","",COUNTIFS('RFQ Log'!$C$5:$C$304,A111,'RFQ Log'!$R$5:$R$304,"Won")+COUNTIFS('RFQ Log'!$C$5:$C$304,A111,'RFQ Log'!$R$5:$R$304,"Ordered")+COUNTIFS('RFQ Log'!$C$5:$C$304,A111,'RFQ Log'!$R$5:$R$304,"Shipped")+COUNTIFS('RFQ Log'!$C$5:$C$304,A111,'RFQ Log'!$R$5:$R$304,"Paid"))</f>
        <v/>
      </c>
      <c r="I111" s="69" t="str">
        <f aca="false">IF(OR(A111="",G111=0),"",H111/G111)</f>
        <v/>
      </c>
      <c r="J111" s="68" t="str">
        <f aca="false">IF(A111="","",SUMIFS('RFQ Log'!$O$5:$O$304,'RFQ Log'!$C$5:$C$304,A111,'RFQ Log'!$R$5:$R$304,"Paid"))</f>
        <v/>
      </c>
      <c r="K111" s="68" t="str">
        <f aca="false">IF(A111="","",SUMIFS('RFQ Log'!$P$5:$P$304,'RFQ Log'!$C$5:$C$304,A111,'RFQ Log'!$R$5:$R$304,"Paid"))</f>
        <v/>
      </c>
      <c r="L111" s="52"/>
    </row>
    <row r="112" customFormat="false" ht="15" hidden="false" customHeight="false" outlineLevel="0" collapsed="false">
      <c r="A112" s="52"/>
      <c r="B112" s="52"/>
      <c r="C112" s="52"/>
      <c r="D112" s="52"/>
      <c r="E112" s="52"/>
      <c r="F112" s="52"/>
      <c r="G112" s="67" t="str">
        <f aca="false">IF(A112="","",COUNTIF('RFQ Log'!$C$5:$C$304,A112))</f>
        <v/>
      </c>
      <c r="H112" s="67" t="str">
        <f aca="false">IF(A112="","",COUNTIFS('RFQ Log'!$C$5:$C$304,A112,'RFQ Log'!$R$5:$R$304,"Won")+COUNTIFS('RFQ Log'!$C$5:$C$304,A112,'RFQ Log'!$R$5:$R$304,"Ordered")+COUNTIFS('RFQ Log'!$C$5:$C$304,A112,'RFQ Log'!$R$5:$R$304,"Shipped")+COUNTIFS('RFQ Log'!$C$5:$C$304,A112,'RFQ Log'!$R$5:$R$304,"Paid"))</f>
        <v/>
      </c>
      <c r="I112" s="69" t="str">
        <f aca="false">IF(OR(A112="",G112=0),"",H112/G112)</f>
        <v/>
      </c>
      <c r="J112" s="68" t="str">
        <f aca="false">IF(A112="","",SUMIFS('RFQ Log'!$O$5:$O$304,'RFQ Log'!$C$5:$C$304,A112,'RFQ Log'!$R$5:$R$304,"Paid"))</f>
        <v/>
      </c>
      <c r="K112" s="68" t="str">
        <f aca="false">IF(A112="","",SUMIFS('RFQ Log'!$P$5:$P$304,'RFQ Log'!$C$5:$C$304,A112,'RFQ Log'!$R$5:$R$304,"Paid"))</f>
        <v/>
      </c>
      <c r="L112" s="52"/>
    </row>
    <row r="113" customFormat="false" ht="15" hidden="false" customHeight="false" outlineLevel="0" collapsed="false">
      <c r="A113" s="52"/>
      <c r="B113" s="52"/>
      <c r="C113" s="52"/>
      <c r="D113" s="52"/>
      <c r="E113" s="52"/>
      <c r="F113" s="52"/>
      <c r="G113" s="67" t="str">
        <f aca="false">IF(A113="","",COUNTIF('RFQ Log'!$C$5:$C$304,A113))</f>
        <v/>
      </c>
      <c r="H113" s="67" t="str">
        <f aca="false">IF(A113="","",COUNTIFS('RFQ Log'!$C$5:$C$304,A113,'RFQ Log'!$R$5:$R$304,"Won")+COUNTIFS('RFQ Log'!$C$5:$C$304,A113,'RFQ Log'!$R$5:$R$304,"Ordered")+COUNTIFS('RFQ Log'!$C$5:$C$304,A113,'RFQ Log'!$R$5:$R$304,"Shipped")+COUNTIFS('RFQ Log'!$C$5:$C$304,A113,'RFQ Log'!$R$5:$R$304,"Paid"))</f>
        <v/>
      </c>
      <c r="I113" s="69" t="str">
        <f aca="false">IF(OR(A113="",G113=0),"",H113/G113)</f>
        <v/>
      </c>
      <c r="J113" s="68" t="str">
        <f aca="false">IF(A113="","",SUMIFS('RFQ Log'!$O$5:$O$304,'RFQ Log'!$C$5:$C$304,A113,'RFQ Log'!$R$5:$R$304,"Paid"))</f>
        <v/>
      </c>
      <c r="K113" s="68" t="str">
        <f aca="false">IF(A113="","",SUMIFS('RFQ Log'!$P$5:$P$304,'RFQ Log'!$C$5:$C$304,A113,'RFQ Log'!$R$5:$R$304,"Paid"))</f>
        <v/>
      </c>
      <c r="L113" s="52"/>
    </row>
    <row r="114" customFormat="false" ht="15" hidden="false" customHeight="false" outlineLevel="0" collapsed="false">
      <c r="A114" s="52"/>
      <c r="B114" s="52"/>
      <c r="C114" s="52"/>
      <c r="D114" s="52"/>
      <c r="E114" s="52"/>
      <c r="F114" s="52"/>
      <c r="G114" s="67" t="str">
        <f aca="false">IF(A114="","",COUNTIF('RFQ Log'!$C$5:$C$304,A114))</f>
        <v/>
      </c>
      <c r="H114" s="67" t="str">
        <f aca="false">IF(A114="","",COUNTIFS('RFQ Log'!$C$5:$C$304,A114,'RFQ Log'!$R$5:$R$304,"Won")+COUNTIFS('RFQ Log'!$C$5:$C$304,A114,'RFQ Log'!$R$5:$R$304,"Ordered")+COUNTIFS('RFQ Log'!$C$5:$C$304,A114,'RFQ Log'!$R$5:$R$304,"Shipped")+COUNTIFS('RFQ Log'!$C$5:$C$304,A114,'RFQ Log'!$R$5:$R$304,"Paid"))</f>
        <v/>
      </c>
      <c r="I114" s="69" t="str">
        <f aca="false">IF(OR(A114="",G114=0),"",H114/G114)</f>
        <v/>
      </c>
      <c r="J114" s="68" t="str">
        <f aca="false">IF(A114="","",SUMIFS('RFQ Log'!$O$5:$O$304,'RFQ Log'!$C$5:$C$304,A114,'RFQ Log'!$R$5:$R$304,"Paid"))</f>
        <v/>
      </c>
      <c r="K114" s="68" t="str">
        <f aca="false">IF(A114="","",SUMIFS('RFQ Log'!$P$5:$P$304,'RFQ Log'!$C$5:$C$304,A114,'RFQ Log'!$R$5:$R$304,"Paid"))</f>
        <v/>
      </c>
      <c r="L114" s="52"/>
    </row>
    <row r="115" customFormat="false" ht="15" hidden="false" customHeight="false" outlineLevel="0" collapsed="false">
      <c r="A115" s="52"/>
      <c r="B115" s="52"/>
      <c r="C115" s="52"/>
      <c r="D115" s="52"/>
      <c r="E115" s="52"/>
      <c r="F115" s="52"/>
      <c r="G115" s="67" t="str">
        <f aca="false">IF(A115="","",COUNTIF('RFQ Log'!$C$5:$C$304,A115))</f>
        <v/>
      </c>
      <c r="H115" s="67" t="str">
        <f aca="false">IF(A115="","",COUNTIFS('RFQ Log'!$C$5:$C$304,A115,'RFQ Log'!$R$5:$R$304,"Won")+COUNTIFS('RFQ Log'!$C$5:$C$304,A115,'RFQ Log'!$R$5:$R$304,"Ordered")+COUNTIFS('RFQ Log'!$C$5:$C$304,A115,'RFQ Log'!$R$5:$R$304,"Shipped")+COUNTIFS('RFQ Log'!$C$5:$C$304,A115,'RFQ Log'!$R$5:$R$304,"Paid"))</f>
        <v/>
      </c>
      <c r="I115" s="69" t="str">
        <f aca="false">IF(OR(A115="",G115=0),"",H115/G115)</f>
        <v/>
      </c>
      <c r="J115" s="68" t="str">
        <f aca="false">IF(A115="","",SUMIFS('RFQ Log'!$O$5:$O$304,'RFQ Log'!$C$5:$C$304,A115,'RFQ Log'!$R$5:$R$304,"Paid"))</f>
        <v/>
      </c>
      <c r="K115" s="68" t="str">
        <f aca="false">IF(A115="","",SUMIFS('RFQ Log'!$P$5:$P$304,'RFQ Log'!$C$5:$C$304,A115,'RFQ Log'!$R$5:$R$304,"Paid"))</f>
        <v/>
      </c>
      <c r="L115" s="52"/>
    </row>
    <row r="116" customFormat="false" ht="15" hidden="false" customHeight="false" outlineLevel="0" collapsed="false">
      <c r="A116" s="52"/>
      <c r="B116" s="52"/>
      <c r="C116" s="52"/>
      <c r="D116" s="52"/>
      <c r="E116" s="52"/>
      <c r="F116" s="52"/>
      <c r="G116" s="67" t="str">
        <f aca="false">IF(A116="","",COUNTIF('RFQ Log'!$C$5:$C$304,A116))</f>
        <v/>
      </c>
      <c r="H116" s="67" t="str">
        <f aca="false">IF(A116="","",COUNTIFS('RFQ Log'!$C$5:$C$304,A116,'RFQ Log'!$R$5:$R$304,"Won")+COUNTIFS('RFQ Log'!$C$5:$C$304,A116,'RFQ Log'!$R$5:$R$304,"Ordered")+COUNTIFS('RFQ Log'!$C$5:$C$304,A116,'RFQ Log'!$R$5:$R$304,"Shipped")+COUNTIFS('RFQ Log'!$C$5:$C$304,A116,'RFQ Log'!$R$5:$R$304,"Paid"))</f>
        <v/>
      </c>
      <c r="I116" s="69" t="str">
        <f aca="false">IF(OR(A116="",G116=0),"",H116/G116)</f>
        <v/>
      </c>
      <c r="J116" s="68" t="str">
        <f aca="false">IF(A116="","",SUMIFS('RFQ Log'!$O$5:$O$304,'RFQ Log'!$C$5:$C$304,A116,'RFQ Log'!$R$5:$R$304,"Paid"))</f>
        <v/>
      </c>
      <c r="K116" s="68" t="str">
        <f aca="false">IF(A116="","",SUMIFS('RFQ Log'!$P$5:$P$304,'RFQ Log'!$C$5:$C$304,A116,'RFQ Log'!$R$5:$R$304,"Paid"))</f>
        <v/>
      </c>
      <c r="L116" s="52"/>
    </row>
    <row r="117" customFormat="false" ht="15" hidden="false" customHeight="false" outlineLevel="0" collapsed="false">
      <c r="A117" s="52"/>
      <c r="B117" s="52"/>
      <c r="C117" s="52"/>
      <c r="D117" s="52"/>
      <c r="E117" s="52"/>
      <c r="F117" s="52"/>
      <c r="G117" s="67" t="str">
        <f aca="false">IF(A117="","",COUNTIF('RFQ Log'!$C$5:$C$304,A117))</f>
        <v/>
      </c>
      <c r="H117" s="67" t="str">
        <f aca="false">IF(A117="","",COUNTIFS('RFQ Log'!$C$5:$C$304,A117,'RFQ Log'!$R$5:$R$304,"Won")+COUNTIFS('RFQ Log'!$C$5:$C$304,A117,'RFQ Log'!$R$5:$R$304,"Ordered")+COUNTIFS('RFQ Log'!$C$5:$C$304,A117,'RFQ Log'!$R$5:$R$304,"Shipped")+COUNTIFS('RFQ Log'!$C$5:$C$304,A117,'RFQ Log'!$R$5:$R$304,"Paid"))</f>
        <v/>
      </c>
      <c r="I117" s="69" t="str">
        <f aca="false">IF(OR(A117="",G117=0),"",H117/G117)</f>
        <v/>
      </c>
      <c r="J117" s="68" t="str">
        <f aca="false">IF(A117="","",SUMIFS('RFQ Log'!$O$5:$O$304,'RFQ Log'!$C$5:$C$304,A117,'RFQ Log'!$R$5:$R$304,"Paid"))</f>
        <v/>
      </c>
      <c r="K117" s="68" t="str">
        <f aca="false">IF(A117="","",SUMIFS('RFQ Log'!$P$5:$P$304,'RFQ Log'!$C$5:$C$304,A117,'RFQ Log'!$R$5:$R$304,"Paid"))</f>
        <v/>
      </c>
      <c r="L117" s="52"/>
    </row>
    <row r="118" customFormat="false" ht="15" hidden="false" customHeight="false" outlineLevel="0" collapsed="false">
      <c r="A118" s="52"/>
      <c r="B118" s="52"/>
      <c r="C118" s="52"/>
      <c r="D118" s="52"/>
      <c r="E118" s="52"/>
      <c r="F118" s="52"/>
      <c r="G118" s="67" t="str">
        <f aca="false">IF(A118="","",COUNTIF('RFQ Log'!$C$5:$C$304,A118))</f>
        <v/>
      </c>
      <c r="H118" s="67" t="str">
        <f aca="false">IF(A118="","",COUNTIFS('RFQ Log'!$C$5:$C$304,A118,'RFQ Log'!$R$5:$R$304,"Won")+COUNTIFS('RFQ Log'!$C$5:$C$304,A118,'RFQ Log'!$R$5:$R$304,"Ordered")+COUNTIFS('RFQ Log'!$C$5:$C$304,A118,'RFQ Log'!$R$5:$R$304,"Shipped")+COUNTIFS('RFQ Log'!$C$5:$C$304,A118,'RFQ Log'!$R$5:$R$304,"Paid"))</f>
        <v/>
      </c>
      <c r="I118" s="69" t="str">
        <f aca="false">IF(OR(A118="",G118=0),"",H118/G118)</f>
        <v/>
      </c>
      <c r="J118" s="68" t="str">
        <f aca="false">IF(A118="","",SUMIFS('RFQ Log'!$O$5:$O$304,'RFQ Log'!$C$5:$C$304,A118,'RFQ Log'!$R$5:$R$304,"Paid"))</f>
        <v/>
      </c>
      <c r="K118" s="68" t="str">
        <f aca="false">IF(A118="","",SUMIFS('RFQ Log'!$P$5:$P$304,'RFQ Log'!$C$5:$C$304,A118,'RFQ Log'!$R$5:$R$304,"Paid"))</f>
        <v/>
      </c>
      <c r="L118" s="52"/>
    </row>
    <row r="119" customFormat="false" ht="15" hidden="false" customHeight="false" outlineLevel="0" collapsed="false">
      <c r="A119" s="52"/>
      <c r="B119" s="52"/>
      <c r="C119" s="52"/>
      <c r="D119" s="52"/>
      <c r="E119" s="52"/>
      <c r="F119" s="52"/>
      <c r="G119" s="67" t="str">
        <f aca="false">IF(A119="","",COUNTIF('RFQ Log'!$C$5:$C$304,A119))</f>
        <v/>
      </c>
      <c r="H119" s="67" t="str">
        <f aca="false">IF(A119="","",COUNTIFS('RFQ Log'!$C$5:$C$304,A119,'RFQ Log'!$R$5:$R$304,"Won")+COUNTIFS('RFQ Log'!$C$5:$C$304,A119,'RFQ Log'!$R$5:$R$304,"Ordered")+COUNTIFS('RFQ Log'!$C$5:$C$304,A119,'RFQ Log'!$R$5:$R$304,"Shipped")+COUNTIFS('RFQ Log'!$C$5:$C$304,A119,'RFQ Log'!$R$5:$R$304,"Paid"))</f>
        <v/>
      </c>
      <c r="I119" s="69" t="str">
        <f aca="false">IF(OR(A119="",G119=0),"",H119/G119)</f>
        <v/>
      </c>
      <c r="J119" s="68" t="str">
        <f aca="false">IF(A119="","",SUMIFS('RFQ Log'!$O$5:$O$304,'RFQ Log'!$C$5:$C$304,A119,'RFQ Log'!$R$5:$R$304,"Paid"))</f>
        <v/>
      </c>
      <c r="K119" s="68" t="str">
        <f aca="false">IF(A119="","",SUMIFS('RFQ Log'!$P$5:$P$304,'RFQ Log'!$C$5:$C$304,A119,'RFQ Log'!$R$5:$R$304,"Paid"))</f>
        <v/>
      </c>
      <c r="L119" s="52"/>
    </row>
    <row r="120" customFormat="false" ht="15" hidden="false" customHeight="false" outlineLevel="0" collapsed="false">
      <c r="A120" s="52"/>
      <c r="B120" s="52"/>
      <c r="C120" s="52"/>
      <c r="D120" s="52"/>
      <c r="E120" s="52"/>
      <c r="F120" s="52"/>
      <c r="G120" s="67" t="str">
        <f aca="false">IF(A120="","",COUNTIF('RFQ Log'!$C$5:$C$304,A120))</f>
        <v/>
      </c>
      <c r="H120" s="67" t="str">
        <f aca="false">IF(A120="","",COUNTIFS('RFQ Log'!$C$5:$C$304,A120,'RFQ Log'!$R$5:$R$304,"Won")+COUNTIFS('RFQ Log'!$C$5:$C$304,A120,'RFQ Log'!$R$5:$R$304,"Ordered")+COUNTIFS('RFQ Log'!$C$5:$C$304,A120,'RFQ Log'!$R$5:$R$304,"Shipped")+COUNTIFS('RFQ Log'!$C$5:$C$304,A120,'RFQ Log'!$R$5:$R$304,"Paid"))</f>
        <v/>
      </c>
      <c r="I120" s="69" t="str">
        <f aca="false">IF(OR(A120="",G120=0),"",H120/G120)</f>
        <v/>
      </c>
      <c r="J120" s="68" t="str">
        <f aca="false">IF(A120="","",SUMIFS('RFQ Log'!$O$5:$O$304,'RFQ Log'!$C$5:$C$304,A120,'RFQ Log'!$R$5:$R$304,"Paid"))</f>
        <v/>
      </c>
      <c r="K120" s="68" t="str">
        <f aca="false">IF(A120="","",SUMIFS('RFQ Log'!$P$5:$P$304,'RFQ Log'!$C$5:$C$304,A120,'RFQ Log'!$R$5:$R$304,"Paid"))</f>
        <v/>
      </c>
      <c r="L120" s="52"/>
    </row>
    <row r="121" customFormat="false" ht="15" hidden="false" customHeight="false" outlineLevel="0" collapsed="false">
      <c r="A121" s="52"/>
      <c r="B121" s="52"/>
      <c r="C121" s="52"/>
      <c r="D121" s="52"/>
      <c r="E121" s="52"/>
      <c r="F121" s="52"/>
      <c r="G121" s="67" t="str">
        <f aca="false">IF(A121="","",COUNTIF('RFQ Log'!$C$5:$C$304,A121))</f>
        <v/>
      </c>
      <c r="H121" s="67" t="str">
        <f aca="false">IF(A121="","",COUNTIFS('RFQ Log'!$C$5:$C$304,A121,'RFQ Log'!$R$5:$R$304,"Won")+COUNTIFS('RFQ Log'!$C$5:$C$304,A121,'RFQ Log'!$R$5:$R$304,"Ordered")+COUNTIFS('RFQ Log'!$C$5:$C$304,A121,'RFQ Log'!$R$5:$R$304,"Shipped")+COUNTIFS('RFQ Log'!$C$5:$C$304,A121,'RFQ Log'!$R$5:$R$304,"Paid"))</f>
        <v/>
      </c>
      <c r="I121" s="69" t="str">
        <f aca="false">IF(OR(A121="",G121=0),"",H121/G121)</f>
        <v/>
      </c>
      <c r="J121" s="68" t="str">
        <f aca="false">IF(A121="","",SUMIFS('RFQ Log'!$O$5:$O$304,'RFQ Log'!$C$5:$C$304,A121,'RFQ Log'!$R$5:$R$304,"Paid"))</f>
        <v/>
      </c>
      <c r="K121" s="68" t="str">
        <f aca="false">IF(A121="","",SUMIFS('RFQ Log'!$P$5:$P$304,'RFQ Log'!$C$5:$C$304,A121,'RFQ Log'!$R$5:$R$304,"Paid"))</f>
        <v/>
      </c>
      <c r="L121" s="52"/>
    </row>
    <row r="122" customFormat="false" ht="15" hidden="false" customHeight="false" outlineLevel="0" collapsed="false">
      <c r="A122" s="52"/>
      <c r="B122" s="52"/>
      <c r="C122" s="52"/>
      <c r="D122" s="52"/>
      <c r="E122" s="52"/>
      <c r="F122" s="52"/>
      <c r="G122" s="67" t="str">
        <f aca="false">IF(A122="","",COUNTIF('RFQ Log'!$C$5:$C$304,A122))</f>
        <v/>
      </c>
      <c r="H122" s="67" t="str">
        <f aca="false">IF(A122="","",COUNTIFS('RFQ Log'!$C$5:$C$304,A122,'RFQ Log'!$R$5:$R$304,"Won")+COUNTIFS('RFQ Log'!$C$5:$C$304,A122,'RFQ Log'!$R$5:$R$304,"Ordered")+COUNTIFS('RFQ Log'!$C$5:$C$304,A122,'RFQ Log'!$R$5:$R$304,"Shipped")+COUNTIFS('RFQ Log'!$C$5:$C$304,A122,'RFQ Log'!$R$5:$R$304,"Paid"))</f>
        <v/>
      </c>
      <c r="I122" s="69" t="str">
        <f aca="false">IF(OR(A122="",G122=0),"",H122/G122)</f>
        <v/>
      </c>
      <c r="J122" s="68" t="str">
        <f aca="false">IF(A122="","",SUMIFS('RFQ Log'!$O$5:$O$304,'RFQ Log'!$C$5:$C$304,A122,'RFQ Log'!$R$5:$R$304,"Paid"))</f>
        <v/>
      </c>
      <c r="K122" s="68" t="str">
        <f aca="false">IF(A122="","",SUMIFS('RFQ Log'!$P$5:$P$304,'RFQ Log'!$C$5:$C$304,A122,'RFQ Log'!$R$5:$R$304,"Paid"))</f>
        <v/>
      </c>
      <c r="L122" s="52"/>
    </row>
    <row r="123" customFormat="false" ht="15" hidden="false" customHeight="false" outlineLevel="0" collapsed="false">
      <c r="A123" s="52"/>
      <c r="B123" s="52"/>
      <c r="C123" s="52"/>
      <c r="D123" s="52"/>
      <c r="E123" s="52"/>
      <c r="F123" s="52"/>
      <c r="G123" s="67" t="str">
        <f aca="false">IF(A123="","",COUNTIF('RFQ Log'!$C$5:$C$304,A123))</f>
        <v/>
      </c>
      <c r="H123" s="67" t="str">
        <f aca="false">IF(A123="","",COUNTIFS('RFQ Log'!$C$5:$C$304,A123,'RFQ Log'!$R$5:$R$304,"Won")+COUNTIFS('RFQ Log'!$C$5:$C$304,A123,'RFQ Log'!$R$5:$R$304,"Ordered")+COUNTIFS('RFQ Log'!$C$5:$C$304,A123,'RFQ Log'!$R$5:$R$304,"Shipped")+COUNTIFS('RFQ Log'!$C$5:$C$304,A123,'RFQ Log'!$R$5:$R$304,"Paid"))</f>
        <v/>
      </c>
      <c r="I123" s="69" t="str">
        <f aca="false">IF(OR(A123="",G123=0),"",H123/G123)</f>
        <v/>
      </c>
      <c r="J123" s="68" t="str">
        <f aca="false">IF(A123="","",SUMIFS('RFQ Log'!$O$5:$O$304,'RFQ Log'!$C$5:$C$304,A123,'RFQ Log'!$R$5:$R$304,"Paid"))</f>
        <v/>
      </c>
      <c r="K123" s="68" t="str">
        <f aca="false">IF(A123="","",SUMIFS('RFQ Log'!$P$5:$P$304,'RFQ Log'!$C$5:$C$304,A123,'RFQ Log'!$R$5:$R$304,"Paid"))</f>
        <v/>
      </c>
      <c r="L123" s="52"/>
    </row>
    <row r="124" customFormat="false" ht="15" hidden="false" customHeight="false" outlineLevel="0" collapsed="false">
      <c r="A124" s="52"/>
      <c r="B124" s="52"/>
      <c r="C124" s="52"/>
      <c r="D124" s="52"/>
      <c r="E124" s="52"/>
      <c r="F124" s="52"/>
      <c r="G124" s="67" t="str">
        <f aca="false">IF(A124="","",COUNTIF('RFQ Log'!$C$5:$C$304,A124))</f>
        <v/>
      </c>
      <c r="H124" s="67" t="str">
        <f aca="false">IF(A124="","",COUNTIFS('RFQ Log'!$C$5:$C$304,A124,'RFQ Log'!$R$5:$R$304,"Won")+COUNTIFS('RFQ Log'!$C$5:$C$304,A124,'RFQ Log'!$R$5:$R$304,"Ordered")+COUNTIFS('RFQ Log'!$C$5:$C$304,A124,'RFQ Log'!$R$5:$R$304,"Shipped")+COUNTIFS('RFQ Log'!$C$5:$C$304,A124,'RFQ Log'!$R$5:$R$304,"Paid"))</f>
        <v/>
      </c>
      <c r="I124" s="69" t="str">
        <f aca="false">IF(OR(A124="",G124=0),"",H124/G124)</f>
        <v/>
      </c>
      <c r="J124" s="68" t="str">
        <f aca="false">IF(A124="","",SUMIFS('RFQ Log'!$O$5:$O$304,'RFQ Log'!$C$5:$C$304,A124,'RFQ Log'!$R$5:$R$304,"Paid"))</f>
        <v/>
      </c>
      <c r="K124" s="68" t="str">
        <f aca="false">IF(A124="","",SUMIFS('RFQ Log'!$P$5:$P$304,'RFQ Log'!$C$5:$C$304,A124,'RFQ Log'!$R$5:$R$304,"Paid"))</f>
        <v/>
      </c>
      <c r="L124" s="52"/>
    </row>
    <row r="125" customFormat="false" ht="15" hidden="false" customHeight="false" outlineLevel="0" collapsed="false">
      <c r="A125" s="52"/>
      <c r="B125" s="52"/>
      <c r="C125" s="52"/>
      <c r="D125" s="52"/>
      <c r="E125" s="52"/>
      <c r="F125" s="52"/>
      <c r="G125" s="67" t="str">
        <f aca="false">IF(A125="","",COUNTIF('RFQ Log'!$C$5:$C$304,A125))</f>
        <v/>
      </c>
      <c r="H125" s="67" t="str">
        <f aca="false">IF(A125="","",COUNTIFS('RFQ Log'!$C$5:$C$304,A125,'RFQ Log'!$R$5:$R$304,"Won")+COUNTIFS('RFQ Log'!$C$5:$C$304,A125,'RFQ Log'!$R$5:$R$304,"Ordered")+COUNTIFS('RFQ Log'!$C$5:$C$304,A125,'RFQ Log'!$R$5:$R$304,"Shipped")+COUNTIFS('RFQ Log'!$C$5:$C$304,A125,'RFQ Log'!$R$5:$R$304,"Paid"))</f>
        <v/>
      </c>
      <c r="I125" s="69" t="str">
        <f aca="false">IF(OR(A125="",G125=0),"",H125/G125)</f>
        <v/>
      </c>
      <c r="J125" s="68" t="str">
        <f aca="false">IF(A125="","",SUMIFS('RFQ Log'!$O$5:$O$304,'RFQ Log'!$C$5:$C$304,A125,'RFQ Log'!$R$5:$R$304,"Paid"))</f>
        <v/>
      </c>
      <c r="K125" s="68" t="str">
        <f aca="false">IF(A125="","",SUMIFS('RFQ Log'!$P$5:$P$304,'RFQ Log'!$C$5:$C$304,A125,'RFQ Log'!$R$5:$R$304,"Paid"))</f>
        <v/>
      </c>
      <c r="L125" s="52"/>
    </row>
    <row r="126" customFormat="false" ht="15" hidden="false" customHeight="false" outlineLevel="0" collapsed="false">
      <c r="A126" s="52"/>
      <c r="B126" s="52"/>
      <c r="C126" s="52"/>
      <c r="D126" s="52"/>
      <c r="E126" s="52"/>
      <c r="F126" s="52"/>
      <c r="G126" s="67" t="str">
        <f aca="false">IF(A126="","",COUNTIF('RFQ Log'!$C$5:$C$304,A126))</f>
        <v/>
      </c>
      <c r="H126" s="67" t="str">
        <f aca="false">IF(A126="","",COUNTIFS('RFQ Log'!$C$5:$C$304,A126,'RFQ Log'!$R$5:$R$304,"Won")+COUNTIFS('RFQ Log'!$C$5:$C$304,A126,'RFQ Log'!$R$5:$R$304,"Ordered")+COUNTIFS('RFQ Log'!$C$5:$C$304,A126,'RFQ Log'!$R$5:$R$304,"Shipped")+COUNTIFS('RFQ Log'!$C$5:$C$304,A126,'RFQ Log'!$R$5:$R$304,"Paid"))</f>
        <v/>
      </c>
      <c r="I126" s="69" t="str">
        <f aca="false">IF(OR(A126="",G126=0),"",H126/G126)</f>
        <v/>
      </c>
      <c r="J126" s="68" t="str">
        <f aca="false">IF(A126="","",SUMIFS('RFQ Log'!$O$5:$O$304,'RFQ Log'!$C$5:$C$304,A126,'RFQ Log'!$R$5:$R$304,"Paid"))</f>
        <v/>
      </c>
      <c r="K126" s="68" t="str">
        <f aca="false">IF(A126="","",SUMIFS('RFQ Log'!$P$5:$P$304,'RFQ Log'!$C$5:$C$304,A126,'RFQ Log'!$R$5:$R$304,"Paid"))</f>
        <v/>
      </c>
      <c r="L126" s="52"/>
    </row>
    <row r="127" customFormat="false" ht="15" hidden="false" customHeight="false" outlineLevel="0" collapsed="false">
      <c r="A127" s="52"/>
      <c r="B127" s="52"/>
      <c r="C127" s="52"/>
      <c r="D127" s="52"/>
      <c r="E127" s="52"/>
      <c r="F127" s="52"/>
      <c r="G127" s="67" t="str">
        <f aca="false">IF(A127="","",COUNTIF('RFQ Log'!$C$5:$C$304,A127))</f>
        <v/>
      </c>
      <c r="H127" s="67" t="str">
        <f aca="false">IF(A127="","",COUNTIFS('RFQ Log'!$C$5:$C$304,A127,'RFQ Log'!$R$5:$R$304,"Won")+COUNTIFS('RFQ Log'!$C$5:$C$304,A127,'RFQ Log'!$R$5:$R$304,"Ordered")+COUNTIFS('RFQ Log'!$C$5:$C$304,A127,'RFQ Log'!$R$5:$R$304,"Shipped")+COUNTIFS('RFQ Log'!$C$5:$C$304,A127,'RFQ Log'!$R$5:$R$304,"Paid"))</f>
        <v/>
      </c>
      <c r="I127" s="69" t="str">
        <f aca="false">IF(OR(A127="",G127=0),"",H127/G127)</f>
        <v/>
      </c>
      <c r="J127" s="68" t="str">
        <f aca="false">IF(A127="","",SUMIFS('RFQ Log'!$O$5:$O$304,'RFQ Log'!$C$5:$C$304,A127,'RFQ Log'!$R$5:$R$304,"Paid"))</f>
        <v/>
      </c>
      <c r="K127" s="68" t="str">
        <f aca="false">IF(A127="","",SUMIFS('RFQ Log'!$P$5:$P$304,'RFQ Log'!$C$5:$C$304,A127,'RFQ Log'!$R$5:$R$304,"Paid"))</f>
        <v/>
      </c>
      <c r="L127" s="52"/>
    </row>
    <row r="128" customFormat="false" ht="15" hidden="false" customHeight="false" outlineLevel="0" collapsed="false">
      <c r="A128" s="52"/>
      <c r="B128" s="52"/>
      <c r="C128" s="52"/>
      <c r="D128" s="52"/>
      <c r="E128" s="52"/>
      <c r="F128" s="52"/>
      <c r="G128" s="67" t="str">
        <f aca="false">IF(A128="","",COUNTIF('RFQ Log'!$C$5:$C$304,A128))</f>
        <v/>
      </c>
      <c r="H128" s="67" t="str">
        <f aca="false">IF(A128="","",COUNTIFS('RFQ Log'!$C$5:$C$304,A128,'RFQ Log'!$R$5:$R$304,"Won")+COUNTIFS('RFQ Log'!$C$5:$C$304,A128,'RFQ Log'!$R$5:$R$304,"Ordered")+COUNTIFS('RFQ Log'!$C$5:$C$304,A128,'RFQ Log'!$R$5:$R$304,"Shipped")+COUNTIFS('RFQ Log'!$C$5:$C$304,A128,'RFQ Log'!$R$5:$R$304,"Paid"))</f>
        <v/>
      </c>
      <c r="I128" s="69" t="str">
        <f aca="false">IF(OR(A128="",G128=0),"",H128/G128)</f>
        <v/>
      </c>
      <c r="J128" s="68" t="str">
        <f aca="false">IF(A128="","",SUMIFS('RFQ Log'!$O$5:$O$304,'RFQ Log'!$C$5:$C$304,A128,'RFQ Log'!$R$5:$R$304,"Paid"))</f>
        <v/>
      </c>
      <c r="K128" s="68" t="str">
        <f aca="false">IF(A128="","",SUMIFS('RFQ Log'!$P$5:$P$304,'RFQ Log'!$C$5:$C$304,A128,'RFQ Log'!$R$5:$R$304,"Paid"))</f>
        <v/>
      </c>
      <c r="L128" s="52"/>
    </row>
    <row r="129" customFormat="false" ht="15" hidden="false" customHeight="false" outlineLevel="0" collapsed="false">
      <c r="A129" s="52"/>
      <c r="B129" s="52"/>
      <c r="C129" s="52"/>
      <c r="D129" s="52"/>
      <c r="E129" s="52"/>
      <c r="F129" s="52"/>
      <c r="G129" s="67" t="str">
        <f aca="false">IF(A129="","",COUNTIF('RFQ Log'!$C$5:$C$304,A129))</f>
        <v/>
      </c>
      <c r="H129" s="67" t="str">
        <f aca="false">IF(A129="","",COUNTIFS('RFQ Log'!$C$5:$C$304,A129,'RFQ Log'!$R$5:$R$304,"Won")+COUNTIFS('RFQ Log'!$C$5:$C$304,A129,'RFQ Log'!$R$5:$R$304,"Ordered")+COUNTIFS('RFQ Log'!$C$5:$C$304,A129,'RFQ Log'!$R$5:$R$304,"Shipped")+COUNTIFS('RFQ Log'!$C$5:$C$304,A129,'RFQ Log'!$R$5:$R$304,"Paid"))</f>
        <v/>
      </c>
      <c r="I129" s="69" t="str">
        <f aca="false">IF(OR(A129="",G129=0),"",H129/G129)</f>
        <v/>
      </c>
      <c r="J129" s="68" t="str">
        <f aca="false">IF(A129="","",SUMIFS('RFQ Log'!$O$5:$O$304,'RFQ Log'!$C$5:$C$304,A129,'RFQ Log'!$R$5:$R$304,"Paid"))</f>
        <v/>
      </c>
      <c r="K129" s="68" t="str">
        <f aca="false">IF(A129="","",SUMIFS('RFQ Log'!$P$5:$P$304,'RFQ Log'!$C$5:$C$304,A129,'RFQ Log'!$R$5:$R$304,"Paid"))</f>
        <v/>
      </c>
      <c r="L129" s="52"/>
    </row>
    <row r="130" customFormat="false" ht="15" hidden="false" customHeight="false" outlineLevel="0" collapsed="false">
      <c r="A130" s="52"/>
      <c r="B130" s="52"/>
      <c r="C130" s="52"/>
      <c r="D130" s="52"/>
      <c r="E130" s="52"/>
      <c r="F130" s="52"/>
      <c r="G130" s="67" t="str">
        <f aca="false">IF(A130="","",COUNTIF('RFQ Log'!$C$5:$C$304,A130))</f>
        <v/>
      </c>
      <c r="H130" s="67" t="str">
        <f aca="false">IF(A130="","",COUNTIFS('RFQ Log'!$C$5:$C$304,A130,'RFQ Log'!$R$5:$R$304,"Won")+COUNTIFS('RFQ Log'!$C$5:$C$304,A130,'RFQ Log'!$R$5:$R$304,"Ordered")+COUNTIFS('RFQ Log'!$C$5:$C$304,A130,'RFQ Log'!$R$5:$R$304,"Shipped")+COUNTIFS('RFQ Log'!$C$5:$C$304,A130,'RFQ Log'!$R$5:$R$304,"Paid"))</f>
        <v/>
      </c>
      <c r="I130" s="69" t="str">
        <f aca="false">IF(OR(A130="",G130=0),"",H130/G130)</f>
        <v/>
      </c>
      <c r="J130" s="68" t="str">
        <f aca="false">IF(A130="","",SUMIFS('RFQ Log'!$O$5:$O$304,'RFQ Log'!$C$5:$C$304,A130,'RFQ Log'!$R$5:$R$304,"Paid"))</f>
        <v/>
      </c>
      <c r="K130" s="68" t="str">
        <f aca="false">IF(A130="","",SUMIFS('RFQ Log'!$P$5:$P$304,'RFQ Log'!$C$5:$C$304,A130,'RFQ Log'!$R$5:$R$304,"Paid"))</f>
        <v/>
      </c>
      <c r="L130" s="52"/>
    </row>
    <row r="131" customFormat="false" ht="15" hidden="false" customHeight="false" outlineLevel="0" collapsed="false">
      <c r="A131" s="52"/>
      <c r="B131" s="52"/>
      <c r="C131" s="52"/>
      <c r="D131" s="52"/>
      <c r="E131" s="52"/>
      <c r="F131" s="52"/>
      <c r="G131" s="67" t="str">
        <f aca="false">IF(A131="","",COUNTIF('RFQ Log'!$C$5:$C$304,A131))</f>
        <v/>
      </c>
      <c r="H131" s="67" t="str">
        <f aca="false">IF(A131="","",COUNTIFS('RFQ Log'!$C$5:$C$304,A131,'RFQ Log'!$R$5:$R$304,"Won")+COUNTIFS('RFQ Log'!$C$5:$C$304,A131,'RFQ Log'!$R$5:$R$304,"Ordered")+COUNTIFS('RFQ Log'!$C$5:$C$304,A131,'RFQ Log'!$R$5:$R$304,"Shipped")+COUNTIFS('RFQ Log'!$C$5:$C$304,A131,'RFQ Log'!$R$5:$R$304,"Paid"))</f>
        <v/>
      </c>
      <c r="I131" s="69" t="str">
        <f aca="false">IF(OR(A131="",G131=0),"",H131/G131)</f>
        <v/>
      </c>
      <c r="J131" s="68" t="str">
        <f aca="false">IF(A131="","",SUMIFS('RFQ Log'!$O$5:$O$304,'RFQ Log'!$C$5:$C$304,A131,'RFQ Log'!$R$5:$R$304,"Paid"))</f>
        <v/>
      </c>
      <c r="K131" s="68" t="str">
        <f aca="false">IF(A131="","",SUMIFS('RFQ Log'!$P$5:$P$304,'RFQ Log'!$C$5:$C$304,A131,'RFQ Log'!$R$5:$R$304,"Paid"))</f>
        <v/>
      </c>
      <c r="L131" s="52"/>
    </row>
    <row r="132" customFormat="false" ht="15" hidden="false" customHeight="false" outlineLevel="0" collapsed="false">
      <c r="A132" s="52"/>
      <c r="B132" s="52"/>
      <c r="C132" s="52"/>
      <c r="D132" s="52"/>
      <c r="E132" s="52"/>
      <c r="F132" s="52"/>
      <c r="G132" s="67" t="str">
        <f aca="false">IF(A132="","",COUNTIF('RFQ Log'!$C$5:$C$304,A132))</f>
        <v/>
      </c>
      <c r="H132" s="67" t="str">
        <f aca="false">IF(A132="","",COUNTIFS('RFQ Log'!$C$5:$C$304,A132,'RFQ Log'!$R$5:$R$304,"Won")+COUNTIFS('RFQ Log'!$C$5:$C$304,A132,'RFQ Log'!$R$5:$R$304,"Ordered")+COUNTIFS('RFQ Log'!$C$5:$C$304,A132,'RFQ Log'!$R$5:$R$304,"Shipped")+COUNTIFS('RFQ Log'!$C$5:$C$304,A132,'RFQ Log'!$R$5:$R$304,"Paid"))</f>
        <v/>
      </c>
      <c r="I132" s="69" t="str">
        <f aca="false">IF(OR(A132="",G132=0),"",H132/G132)</f>
        <v/>
      </c>
      <c r="J132" s="68" t="str">
        <f aca="false">IF(A132="","",SUMIFS('RFQ Log'!$O$5:$O$304,'RFQ Log'!$C$5:$C$304,A132,'RFQ Log'!$R$5:$R$304,"Paid"))</f>
        <v/>
      </c>
      <c r="K132" s="68" t="str">
        <f aca="false">IF(A132="","",SUMIFS('RFQ Log'!$P$5:$P$304,'RFQ Log'!$C$5:$C$304,A132,'RFQ Log'!$R$5:$R$304,"Paid"))</f>
        <v/>
      </c>
      <c r="L132" s="52"/>
    </row>
    <row r="133" customFormat="false" ht="15" hidden="false" customHeight="false" outlineLevel="0" collapsed="false">
      <c r="A133" s="52"/>
      <c r="B133" s="52"/>
      <c r="C133" s="52"/>
      <c r="D133" s="52"/>
      <c r="E133" s="52"/>
      <c r="F133" s="52"/>
      <c r="G133" s="67" t="str">
        <f aca="false">IF(A133="","",COUNTIF('RFQ Log'!$C$5:$C$304,A133))</f>
        <v/>
      </c>
      <c r="H133" s="67" t="str">
        <f aca="false">IF(A133="","",COUNTIFS('RFQ Log'!$C$5:$C$304,A133,'RFQ Log'!$R$5:$R$304,"Won")+COUNTIFS('RFQ Log'!$C$5:$C$304,A133,'RFQ Log'!$R$5:$R$304,"Ordered")+COUNTIFS('RFQ Log'!$C$5:$C$304,A133,'RFQ Log'!$R$5:$R$304,"Shipped")+COUNTIFS('RFQ Log'!$C$5:$C$304,A133,'RFQ Log'!$R$5:$R$304,"Paid"))</f>
        <v/>
      </c>
      <c r="I133" s="69" t="str">
        <f aca="false">IF(OR(A133="",G133=0),"",H133/G133)</f>
        <v/>
      </c>
      <c r="J133" s="68" t="str">
        <f aca="false">IF(A133="","",SUMIFS('RFQ Log'!$O$5:$O$304,'RFQ Log'!$C$5:$C$304,A133,'RFQ Log'!$R$5:$R$304,"Paid"))</f>
        <v/>
      </c>
      <c r="K133" s="68" t="str">
        <f aca="false">IF(A133="","",SUMIFS('RFQ Log'!$P$5:$P$304,'RFQ Log'!$C$5:$C$304,A133,'RFQ Log'!$R$5:$R$304,"Paid"))</f>
        <v/>
      </c>
      <c r="L133" s="52"/>
    </row>
    <row r="134" customFormat="false" ht="15" hidden="false" customHeight="false" outlineLevel="0" collapsed="false">
      <c r="A134" s="52"/>
      <c r="B134" s="52"/>
      <c r="C134" s="52"/>
      <c r="D134" s="52"/>
      <c r="E134" s="52"/>
      <c r="F134" s="52"/>
      <c r="G134" s="67" t="str">
        <f aca="false">IF(A134="","",COUNTIF('RFQ Log'!$C$5:$C$304,A134))</f>
        <v/>
      </c>
      <c r="H134" s="67" t="str">
        <f aca="false">IF(A134="","",COUNTIFS('RFQ Log'!$C$5:$C$304,A134,'RFQ Log'!$R$5:$R$304,"Won")+COUNTIFS('RFQ Log'!$C$5:$C$304,A134,'RFQ Log'!$R$5:$R$304,"Ordered")+COUNTIFS('RFQ Log'!$C$5:$C$304,A134,'RFQ Log'!$R$5:$R$304,"Shipped")+COUNTIFS('RFQ Log'!$C$5:$C$304,A134,'RFQ Log'!$R$5:$R$304,"Paid"))</f>
        <v/>
      </c>
      <c r="I134" s="69" t="str">
        <f aca="false">IF(OR(A134="",G134=0),"",H134/G134)</f>
        <v/>
      </c>
      <c r="J134" s="68" t="str">
        <f aca="false">IF(A134="","",SUMIFS('RFQ Log'!$O$5:$O$304,'RFQ Log'!$C$5:$C$304,A134,'RFQ Log'!$R$5:$R$304,"Paid"))</f>
        <v/>
      </c>
      <c r="K134" s="68" t="str">
        <f aca="false">IF(A134="","",SUMIFS('RFQ Log'!$P$5:$P$304,'RFQ Log'!$C$5:$C$304,A134,'RFQ Log'!$R$5:$R$304,"Paid"))</f>
        <v/>
      </c>
      <c r="L134" s="52"/>
    </row>
    <row r="135" customFormat="false" ht="15" hidden="false" customHeight="false" outlineLevel="0" collapsed="false">
      <c r="A135" s="52"/>
      <c r="B135" s="52"/>
      <c r="C135" s="52"/>
      <c r="D135" s="52"/>
      <c r="E135" s="52"/>
      <c r="F135" s="52"/>
      <c r="G135" s="67" t="str">
        <f aca="false">IF(A135="","",COUNTIF('RFQ Log'!$C$5:$C$304,A135))</f>
        <v/>
      </c>
      <c r="H135" s="67" t="str">
        <f aca="false">IF(A135="","",COUNTIFS('RFQ Log'!$C$5:$C$304,A135,'RFQ Log'!$R$5:$R$304,"Won")+COUNTIFS('RFQ Log'!$C$5:$C$304,A135,'RFQ Log'!$R$5:$R$304,"Ordered")+COUNTIFS('RFQ Log'!$C$5:$C$304,A135,'RFQ Log'!$R$5:$R$304,"Shipped")+COUNTIFS('RFQ Log'!$C$5:$C$304,A135,'RFQ Log'!$R$5:$R$304,"Paid"))</f>
        <v/>
      </c>
      <c r="I135" s="69" t="str">
        <f aca="false">IF(OR(A135="",G135=0),"",H135/G135)</f>
        <v/>
      </c>
      <c r="J135" s="68" t="str">
        <f aca="false">IF(A135="","",SUMIFS('RFQ Log'!$O$5:$O$304,'RFQ Log'!$C$5:$C$304,A135,'RFQ Log'!$R$5:$R$304,"Paid"))</f>
        <v/>
      </c>
      <c r="K135" s="68" t="str">
        <f aca="false">IF(A135="","",SUMIFS('RFQ Log'!$P$5:$P$304,'RFQ Log'!$C$5:$C$304,A135,'RFQ Log'!$R$5:$R$304,"Paid"))</f>
        <v/>
      </c>
      <c r="L135" s="52"/>
    </row>
    <row r="136" customFormat="false" ht="15" hidden="false" customHeight="false" outlineLevel="0" collapsed="false">
      <c r="A136" s="52"/>
      <c r="B136" s="52"/>
      <c r="C136" s="52"/>
      <c r="D136" s="52"/>
      <c r="E136" s="52"/>
      <c r="F136" s="52"/>
      <c r="G136" s="67" t="str">
        <f aca="false">IF(A136="","",COUNTIF('RFQ Log'!$C$5:$C$304,A136))</f>
        <v/>
      </c>
      <c r="H136" s="67" t="str">
        <f aca="false">IF(A136="","",COUNTIFS('RFQ Log'!$C$5:$C$304,A136,'RFQ Log'!$R$5:$R$304,"Won")+COUNTIFS('RFQ Log'!$C$5:$C$304,A136,'RFQ Log'!$R$5:$R$304,"Ordered")+COUNTIFS('RFQ Log'!$C$5:$C$304,A136,'RFQ Log'!$R$5:$R$304,"Shipped")+COUNTIFS('RFQ Log'!$C$5:$C$304,A136,'RFQ Log'!$R$5:$R$304,"Paid"))</f>
        <v/>
      </c>
      <c r="I136" s="69" t="str">
        <f aca="false">IF(OR(A136="",G136=0),"",H136/G136)</f>
        <v/>
      </c>
      <c r="J136" s="68" t="str">
        <f aca="false">IF(A136="","",SUMIFS('RFQ Log'!$O$5:$O$304,'RFQ Log'!$C$5:$C$304,A136,'RFQ Log'!$R$5:$R$304,"Paid"))</f>
        <v/>
      </c>
      <c r="K136" s="68" t="str">
        <f aca="false">IF(A136="","",SUMIFS('RFQ Log'!$P$5:$P$304,'RFQ Log'!$C$5:$C$304,A136,'RFQ Log'!$R$5:$R$304,"Paid"))</f>
        <v/>
      </c>
      <c r="L136" s="52"/>
    </row>
    <row r="137" customFormat="false" ht="15" hidden="false" customHeight="false" outlineLevel="0" collapsed="false">
      <c r="A137" s="52"/>
      <c r="B137" s="52"/>
      <c r="C137" s="52"/>
      <c r="D137" s="52"/>
      <c r="E137" s="52"/>
      <c r="F137" s="52"/>
      <c r="G137" s="67" t="str">
        <f aca="false">IF(A137="","",COUNTIF('RFQ Log'!$C$5:$C$304,A137))</f>
        <v/>
      </c>
      <c r="H137" s="67" t="str">
        <f aca="false">IF(A137="","",COUNTIFS('RFQ Log'!$C$5:$C$304,A137,'RFQ Log'!$R$5:$R$304,"Won")+COUNTIFS('RFQ Log'!$C$5:$C$304,A137,'RFQ Log'!$R$5:$R$304,"Ordered")+COUNTIFS('RFQ Log'!$C$5:$C$304,A137,'RFQ Log'!$R$5:$R$304,"Shipped")+COUNTIFS('RFQ Log'!$C$5:$C$304,A137,'RFQ Log'!$R$5:$R$304,"Paid"))</f>
        <v/>
      </c>
      <c r="I137" s="69" t="str">
        <f aca="false">IF(OR(A137="",G137=0),"",H137/G137)</f>
        <v/>
      </c>
      <c r="J137" s="68" t="str">
        <f aca="false">IF(A137="","",SUMIFS('RFQ Log'!$O$5:$O$304,'RFQ Log'!$C$5:$C$304,A137,'RFQ Log'!$R$5:$R$304,"Paid"))</f>
        <v/>
      </c>
      <c r="K137" s="68" t="str">
        <f aca="false">IF(A137="","",SUMIFS('RFQ Log'!$P$5:$P$304,'RFQ Log'!$C$5:$C$304,A137,'RFQ Log'!$R$5:$R$304,"Paid"))</f>
        <v/>
      </c>
      <c r="L137" s="52"/>
    </row>
    <row r="138" customFormat="false" ht="15" hidden="false" customHeight="false" outlineLevel="0" collapsed="false">
      <c r="A138" s="52"/>
      <c r="B138" s="52"/>
      <c r="C138" s="52"/>
      <c r="D138" s="52"/>
      <c r="E138" s="52"/>
      <c r="F138" s="52"/>
      <c r="G138" s="67" t="str">
        <f aca="false">IF(A138="","",COUNTIF('RFQ Log'!$C$5:$C$304,A138))</f>
        <v/>
      </c>
      <c r="H138" s="67" t="str">
        <f aca="false">IF(A138="","",COUNTIFS('RFQ Log'!$C$5:$C$304,A138,'RFQ Log'!$R$5:$R$304,"Won")+COUNTIFS('RFQ Log'!$C$5:$C$304,A138,'RFQ Log'!$R$5:$R$304,"Ordered")+COUNTIFS('RFQ Log'!$C$5:$C$304,A138,'RFQ Log'!$R$5:$R$304,"Shipped")+COUNTIFS('RFQ Log'!$C$5:$C$304,A138,'RFQ Log'!$R$5:$R$304,"Paid"))</f>
        <v/>
      </c>
      <c r="I138" s="69" t="str">
        <f aca="false">IF(OR(A138="",G138=0),"",H138/G138)</f>
        <v/>
      </c>
      <c r="J138" s="68" t="str">
        <f aca="false">IF(A138="","",SUMIFS('RFQ Log'!$O$5:$O$304,'RFQ Log'!$C$5:$C$304,A138,'RFQ Log'!$R$5:$R$304,"Paid"))</f>
        <v/>
      </c>
      <c r="K138" s="68" t="str">
        <f aca="false">IF(A138="","",SUMIFS('RFQ Log'!$P$5:$P$304,'RFQ Log'!$C$5:$C$304,A138,'RFQ Log'!$R$5:$R$304,"Paid"))</f>
        <v/>
      </c>
      <c r="L138" s="52"/>
    </row>
    <row r="139" customFormat="false" ht="15" hidden="false" customHeight="false" outlineLevel="0" collapsed="false">
      <c r="A139" s="52"/>
      <c r="B139" s="52"/>
      <c r="C139" s="52"/>
      <c r="D139" s="52"/>
      <c r="E139" s="52"/>
      <c r="F139" s="52"/>
      <c r="G139" s="67" t="str">
        <f aca="false">IF(A139="","",COUNTIF('RFQ Log'!$C$5:$C$304,A139))</f>
        <v/>
      </c>
      <c r="H139" s="67" t="str">
        <f aca="false">IF(A139="","",COUNTIFS('RFQ Log'!$C$5:$C$304,A139,'RFQ Log'!$R$5:$R$304,"Won")+COUNTIFS('RFQ Log'!$C$5:$C$304,A139,'RFQ Log'!$R$5:$R$304,"Ordered")+COUNTIFS('RFQ Log'!$C$5:$C$304,A139,'RFQ Log'!$R$5:$R$304,"Shipped")+COUNTIFS('RFQ Log'!$C$5:$C$304,A139,'RFQ Log'!$R$5:$R$304,"Paid"))</f>
        <v/>
      </c>
      <c r="I139" s="69" t="str">
        <f aca="false">IF(OR(A139="",G139=0),"",H139/G139)</f>
        <v/>
      </c>
      <c r="J139" s="68" t="str">
        <f aca="false">IF(A139="","",SUMIFS('RFQ Log'!$O$5:$O$304,'RFQ Log'!$C$5:$C$304,A139,'RFQ Log'!$R$5:$R$304,"Paid"))</f>
        <v/>
      </c>
      <c r="K139" s="68" t="str">
        <f aca="false">IF(A139="","",SUMIFS('RFQ Log'!$P$5:$P$304,'RFQ Log'!$C$5:$C$304,A139,'RFQ Log'!$R$5:$R$304,"Paid"))</f>
        <v/>
      </c>
      <c r="L139" s="52"/>
    </row>
    <row r="140" customFormat="false" ht="15" hidden="false" customHeight="false" outlineLevel="0" collapsed="false">
      <c r="A140" s="52"/>
      <c r="B140" s="52"/>
      <c r="C140" s="52"/>
      <c r="D140" s="52"/>
      <c r="E140" s="52"/>
      <c r="F140" s="52"/>
      <c r="G140" s="67" t="str">
        <f aca="false">IF(A140="","",COUNTIF('RFQ Log'!$C$5:$C$304,A140))</f>
        <v/>
      </c>
      <c r="H140" s="67" t="str">
        <f aca="false">IF(A140="","",COUNTIFS('RFQ Log'!$C$5:$C$304,A140,'RFQ Log'!$R$5:$R$304,"Won")+COUNTIFS('RFQ Log'!$C$5:$C$304,A140,'RFQ Log'!$R$5:$R$304,"Ordered")+COUNTIFS('RFQ Log'!$C$5:$C$304,A140,'RFQ Log'!$R$5:$R$304,"Shipped")+COUNTIFS('RFQ Log'!$C$5:$C$304,A140,'RFQ Log'!$R$5:$R$304,"Paid"))</f>
        <v/>
      </c>
      <c r="I140" s="69" t="str">
        <f aca="false">IF(OR(A140="",G140=0),"",H140/G140)</f>
        <v/>
      </c>
      <c r="J140" s="68" t="str">
        <f aca="false">IF(A140="","",SUMIFS('RFQ Log'!$O$5:$O$304,'RFQ Log'!$C$5:$C$304,A140,'RFQ Log'!$R$5:$R$304,"Paid"))</f>
        <v/>
      </c>
      <c r="K140" s="68" t="str">
        <f aca="false">IF(A140="","",SUMIFS('RFQ Log'!$P$5:$P$304,'RFQ Log'!$C$5:$C$304,A140,'RFQ Log'!$R$5:$R$304,"Paid"))</f>
        <v/>
      </c>
      <c r="L140" s="52"/>
    </row>
    <row r="141" customFormat="false" ht="15" hidden="false" customHeight="false" outlineLevel="0" collapsed="false">
      <c r="A141" s="52"/>
      <c r="B141" s="52"/>
      <c r="C141" s="52"/>
      <c r="D141" s="52"/>
      <c r="E141" s="52"/>
      <c r="F141" s="52"/>
      <c r="G141" s="67" t="str">
        <f aca="false">IF(A141="","",COUNTIF('RFQ Log'!$C$5:$C$304,A141))</f>
        <v/>
      </c>
      <c r="H141" s="67" t="str">
        <f aca="false">IF(A141="","",COUNTIFS('RFQ Log'!$C$5:$C$304,A141,'RFQ Log'!$R$5:$R$304,"Won")+COUNTIFS('RFQ Log'!$C$5:$C$304,A141,'RFQ Log'!$R$5:$R$304,"Ordered")+COUNTIFS('RFQ Log'!$C$5:$C$304,A141,'RFQ Log'!$R$5:$R$304,"Shipped")+COUNTIFS('RFQ Log'!$C$5:$C$304,A141,'RFQ Log'!$R$5:$R$304,"Paid"))</f>
        <v/>
      </c>
      <c r="I141" s="69" t="str">
        <f aca="false">IF(OR(A141="",G141=0),"",H141/G141)</f>
        <v/>
      </c>
      <c r="J141" s="68" t="str">
        <f aca="false">IF(A141="","",SUMIFS('RFQ Log'!$O$5:$O$304,'RFQ Log'!$C$5:$C$304,A141,'RFQ Log'!$R$5:$R$304,"Paid"))</f>
        <v/>
      </c>
      <c r="K141" s="68" t="str">
        <f aca="false">IF(A141="","",SUMIFS('RFQ Log'!$P$5:$P$304,'RFQ Log'!$C$5:$C$304,A141,'RFQ Log'!$R$5:$R$304,"Paid"))</f>
        <v/>
      </c>
      <c r="L141" s="52"/>
    </row>
    <row r="142" customFormat="false" ht="15" hidden="false" customHeight="false" outlineLevel="0" collapsed="false">
      <c r="A142" s="52"/>
      <c r="B142" s="52"/>
      <c r="C142" s="52"/>
      <c r="D142" s="52"/>
      <c r="E142" s="52"/>
      <c r="F142" s="52"/>
      <c r="G142" s="67" t="str">
        <f aca="false">IF(A142="","",COUNTIF('RFQ Log'!$C$5:$C$304,A142))</f>
        <v/>
      </c>
      <c r="H142" s="67" t="str">
        <f aca="false">IF(A142="","",COUNTIFS('RFQ Log'!$C$5:$C$304,A142,'RFQ Log'!$R$5:$R$304,"Won")+COUNTIFS('RFQ Log'!$C$5:$C$304,A142,'RFQ Log'!$R$5:$R$304,"Ordered")+COUNTIFS('RFQ Log'!$C$5:$C$304,A142,'RFQ Log'!$R$5:$R$304,"Shipped")+COUNTIFS('RFQ Log'!$C$5:$C$304,A142,'RFQ Log'!$R$5:$R$304,"Paid"))</f>
        <v/>
      </c>
      <c r="I142" s="69" t="str">
        <f aca="false">IF(OR(A142="",G142=0),"",H142/G142)</f>
        <v/>
      </c>
      <c r="J142" s="68" t="str">
        <f aca="false">IF(A142="","",SUMIFS('RFQ Log'!$O$5:$O$304,'RFQ Log'!$C$5:$C$304,A142,'RFQ Log'!$R$5:$R$304,"Paid"))</f>
        <v/>
      </c>
      <c r="K142" s="68" t="str">
        <f aca="false">IF(A142="","",SUMIFS('RFQ Log'!$P$5:$P$304,'RFQ Log'!$C$5:$C$304,A142,'RFQ Log'!$R$5:$R$304,"Paid"))</f>
        <v/>
      </c>
      <c r="L142" s="52"/>
    </row>
    <row r="143" customFormat="false" ht="15" hidden="false" customHeight="false" outlineLevel="0" collapsed="false">
      <c r="A143" s="52"/>
      <c r="B143" s="52"/>
      <c r="C143" s="52"/>
      <c r="D143" s="52"/>
      <c r="E143" s="52"/>
      <c r="F143" s="52"/>
      <c r="G143" s="67" t="str">
        <f aca="false">IF(A143="","",COUNTIF('RFQ Log'!$C$5:$C$304,A143))</f>
        <v/>
      </c>
      <c r="H143" s="67" t="str">
        <f aca="false">IF(A143="","",COUNTIFS('RFQ Log'!$C$5:$C$304,A143,'RFQ Log'!$R$5:$R$304,"Won")+COUNTIFS('RFQ Log'!$C$5:$C$304,A143,'RFQ Log'!$R$5:$R$304,"Ordered")+COUNTIFS('RFQ Log'!$C$5:$C$304,A143,'RFQ Log'!$R$5:$R$304,"Shipped")+COUNTIFS('RFQ Log'!$C$5:$C$304,A143,'RFQ Log'!$R$5:$R$304,"Paid"))</f>
        <v/>
      </c>
      <c r="I143" s="69" t="str">
        <f aca="false">IF(OR(A143="",G143=0),"",H143/G143)</f>
        <v/>
      </c>
      <c r="J143" s="68" t="str">
        <f aca="false">IF(A143="","",SUMIFS('RFQ Log'!$O$5:$O$304,'RFQ Log'!$C$5:$C$304,A143,'RFQ Log'!$R$5:$R$304,"Paid"))</f>
        <v/>
      </c>
      <c r="K143" s="68" t="str">
        <f aca="false">IF(A143="","",SUMIFS('RFQ Log'!$P$5:$P$304,'RFQ Log'!$C$5:$C$304,A143,'RFQ Log'!$R$5:$R$304,"Paid"))</f>
        <v/>
      </c>
      <c r="L143" s="52"/>
    </row>
    <row r="144" customFormat="false" ht="15" hidden="false" customHeight="false" outlineLevel="0" collapsed="false">
      <c r="A144" s="52"/>
      <c r="B144" s="52"/>
      <c r="C144" s="52"/>
      <c r="D144" s="52"/>
      <c r="E144" s="52"/>
      <c r="F144" s="52"/>
      <c r="G144" s="67" t="str">
        <f aca="false">IF(A144="","",COUNTIF('RFQ Log'!$C$5:$C$304,A144))</f>
        <v/>
      </c>
      <c r="H144" s="67" t="str">
        <f aca="false">IF(A144="","",COUNTIFS('RFQ Log'!$C$5:$C$304,A144,'RFQ Log'!$R$5:$R$304,"Won")+COUNTIFS('RFQ Log'!$C$5:$C$304,A144,'RFQ Log'!$R$5:$R$304,"Ordered")+COUNTIFS('RFQ Log'!$C$5:$C$304,A144,'RFQ Log'!$R$5:$R$304,"Shipped")+COUNTIFS('RFQ Log'!$C$5:$C$304,A144,'RFQ Log'!$R$5:$R$304,"Paid"))</f>
        <v/>
      </c>
      <c r="I144" s="69" t="str">
        <f aca="false">IF(OR(A144="",G144=0),"",H144/G144)</f>
        <v/>
      </c>
      <c r="J144" s="68" t="str">
        <f aca="false">IF(A144="","",SUMIFS('RFQ Log'!$O$5:$O$304,'RFQ Log'!$C$5:$C$304,A144,'RFQ Log'!$R$5:$R$304,"Paid"))</f>
        <v/>
      </c>
      <c r="K144" s="68" t="str">
        <f aca="false">IF(A144="","",SUMIFS('RFQ Log'!$P$5:$P$304,'RFQ Log'!$C$5:$C$304,A144,'RFQ Log'!$R$5:$R$304,"Paid"))</f>
        <v/>
      </c>
      <c r="L144" s="52"/>
    </row>
    <row r="145" customFormat="false" ht="15" hidden="false" customHeight="false" outlineLevel="0" collapsed="false">
      <c r="A145" s="52"/>
      <c r="B145" s="52"/>
      <c r="C145" s="52"/>
      <c r="D145" s="52"/>
      <c r="E145" s="52"/>
      <c r="F145" s="52"/>
      <c r="G145" s="67" t="str">
        <f aca="false">IF(A145="","",COUNTIF('RFQ Log'!$C$5:$C$304,A145))</f>
        <v/>
      </c>
      <c r="H145" s="67" t="str">
        <f aca="false">IF(A145="","",COUNTIFS('RFQ Log'!$C$5:$C$304,A145,'RFQ Log'!$R$5:$R$304,"Won")+COUNTIFS('RFQ Log'!$C$5:$C$304,A145,'RFQ Log'!$R$5:$R$304,"Ordered")+COUNTIFS('RFQ Log'!$C$5:$C$304,A145,'RFQ Log'!$R$5:$R$304,"Shipped")+COUNTIFS('RFQ Log'!$C$5:$C$304,A145,'RFQ Log'!$R$5:$R$304,"Paid"))</f>
        <v/>
      </c>
      <c r="I145" s="69" t="str">
        <f aca="false">IF(OR(A145="",G145=0),"",H145/G145)</f>
        <v/>
      </c>
      <c r="J145" s="68" t="str">
        <f aca="false">IF(A145="","",SUMIFS('RFQ Log'!$O$5:$O$304,'RFQ Log'!$C$5:$C$304,A145,'RFQ Log'!$R$5:$R$304,"Paid"))</f>
        <v/>
      </c>
      <c r="K145" s="68" t="str">
        <f aca="false">IF(A145="","",SUMIFS('RFQ Log'!$P$5:$P$304,'RFQ Log'!$C$5:$C$304,A145,'RFQ Log'!$R$5:$R$304,"Paid"))</f>
        <v/>
      </c>
      <c r="L145" s="52"/>
    </row>
    <row r="146" customFormat="false" ht="15" hidden="false" customHeight="false" outlineLevel="0" collapsed="false">
      <c r="A146" s="52"/>
      <c r="B146" s="52"/>
      <c r="C146" s="52"/>
      <c r="D146" s="52"/>
      <c r="E146" s="52"/>
      <c r="F146" s="52"/>
      <c r="G146" s="67" t="str">
        <f aca="false">IF(A146="","",COUNTIF('RFQ Log'!$C$5:$C$304,A146))</f>
        <v/>
      </c>
      <c r="H146" s="67" t="str">
        <f aca="false">IF(A146="","",COUNTIFS('RFQ Log'!$C$5:$C$304,A146,'RFQ Log'!$R$5:$R$304,"Won")+COUNTIFS('RFQ Log'!$C$5:$C$304,A146,'RFQ Log'!$R$5:$R$304,"Ordered")+COUNTIFS('RFQ Log'!$C$5:$C$304,A146,'RFQ Log'!$R$5:$R$304,"Shipped")+COUNTIFS('RFQ Log'!$C$5:$C$304,A146,'RFQ Log'!$R$5:$R$304,"Paid"))</f>
        <v/>
      </c>
      <c r="I146" s="69" t="str">
        <f aca="false">IF(OR(A146="",G146=0),"",H146/G146)</f>
        <v/>
      </c>
      <c r="J146" s="68" t="str">
        <f aca="false">IF(A146="","",SUMIFS('RFQ Log'!$O$5:$O$304,'RFQ Log'!$C$5:$C$304,A146,'RFQ Log'!$R$5:$R$304,"Paid"))</f>
        <v/>
      </c>
      <c r="K146" s="68" t="str">
        <f aca="false">IF(A146="","",SUMIFS('RFQ Log'!$P$5:$P$304,'RFQ Log'!$C$5:$C$304,A146,'RFQ Log'!$R$5:$R$304,"Paid"))</f>
        <v/>
      </c>
      <c r="L146" s="52"/>
    </row>
    <row r="147" customFormat="false" ht="15" hidden="false" customHeight="false" outlineLevel="0" collapsed="false">
      <c r="A147" s="52"/>
      <c r="B147" s="52"/>
      <c r="C147" s="52"/>
      <c r="D147" s="52"/>
      <c r="E147" s="52"/>
      <c r="F147" s="52"/>
      <c r="G147" s="67" t="str">
        <f aca="false">IF(A147="","",COUNTIF('RFQ Log'!$C$5:$C$304,A147))</f>
        <v/>
      </c>
      <c r="H147" s="67" t="str">
        <f aca="false">IF(A147="","",COUNTIFS('RFQ Log'!$C$5:$C$304,A147,'RFQ Log'!$R$5:$R$304,"Won")+COUNTIFS('RFQ Log'!$C$5:$C$304,A147,'RFQ Log'!$R$5:$R$304,"Ordered")+COUNTIFS('RFQ Log'!$C$5:$C$304,A147,'RFQ Log'!$R$5:$R$304,"Shipped")+COUNTIFS('RFQ Log'!$C$5:$C$304,A147,'RFQ Log'!$R$5:$R$304,"Paid"))</f>
        <v/>
      </c>
      <c r="I147" s="69" t="str">
        <f aca="false">IF(OR(A147="",G147=0),"",H147/G147)</f>
        <v/>
      </c>
      <c r="J147" s="68" t="str">
        <f aca="false">IF(A147="","",SUMIFS('RFQ Log'!$O$5:$O$304,'RFQ Log'!$C$5:$C$304,A147,'RFQ Log'!$R$5:$R$304,"Paid"))</f>
        <v/>
      </c>
      <c r="K147" s="68" t="str">
        <f aca="false">IF(A147="","",SUMIFS('RFQ Log'!$P$5:$P$304,'RFQ Log'!$C$5:$C$304,A147,'RFQ Log'!$R$5:$R$304,"Paid"))</f>
        <v/>
      </c>
      <c r="L147" s="52"/>
    </row>
    <row r="148" customFormat="false" ht="15" hidden="false" customHeight="false" outlineLevel="0" collapsed="false">
      <c r="A148" s="52"/>
      <c r="B148" s="52"/>
      <c r="C148" s="52"/>
      <c r="D148" s="52"/>
      <c r="E148" s="52"/>
      <c r="F148" s="52"/>
      <c r="G148" s="67" t="str">
        <f aca="false">IF(A148="","",COUNTIF('RFQ Log'!$C$5:$C$304,A148))</f>
        <v/>
      </c>
      <c r="H148" s="67" t="str">
        <f aca="false">IF(A148="","",COUNTIFS('RFQ Log'!$C$5:$C$304,A148,'RFQ Log'!$R$5:$R$304,"Won")+COUNTIFS('RFQ Log'!$C$5:$C$304,A148,'RFQ Log'!$R$5:$R$304,"Ordered")+COUNTIFS('RFQ Log'!$C$5:$C$304,A148,'RFQ Log'!$R$5:$R$304,"Shipped")+COUNTIFS('RFQ Log'!$C$5:$C$304,A148,'RFQ Log'!$R$5:$R$304,"Paid"))</f>
        <v/>
      </c>
      <c r="I148" s="69" t="str">
        <f aca="false">IF(OR(A148="",G148=0),"",H148/G148)</f>
        <v/>
      </c>
      <c r="J148" s="68" t="str">
        <f aca="false">IF(A148="","",SUMIFS('RFQ Log'!$O$5:$O$304,'RFQ Log'!$C$5:$C$304,A148,'RFQ Log'!$R$5:$R$304,"Paid"))</f>
        <v/>
      </c>
      <c r="K148" s="68" t="str">
        <f aca="false">IF(A148="","",SUMIFS('RFQ Log'!$P$5:$P$304,'RFQ Log'!$C$5:$C$304,A148,'RFQ Log'!$R$5:$R$304,"Paid"))</f>
        <v/>
      </c>
      <c r="L148" s="52"/>
    </row>
    <row r="149" customFormat="false" ht="15" hidden="false" customHeight="false" outlineLevel="0" collapsed="false">
      <c r="A149" s="52"/>
      <c r="B149" s="52"/>
      <c r="C149" s="52"/>
      <c r="D149" s="52"/>
      <c r="E149" s="52"/>
      <c r="F149" s="52"/>
      <c r="G149" s="67" t="str">
        <f aca="false">IF(A149="","",COUNTIF('RFQ Log'!$C$5:$C$304,A149))</f>
        <v/>
      </c>
      <c r="H149" s="67" t="str">
        <f aca="false">IF(A149="","",COUNTIFS('RFQ Log'!$C$5:$C$304,A149,'RFQ Log'!$R$5:$R$304,"Won")+COUNTIFS('RFQ Log'!$C$5:$C$304,A149,'RFQ Log'!$R$5:$R$304,"Ordered")+COUNTIFS('RFQ Log'!$C$5:$C$304,A149,'RFQ Log'!$R$5:$R$304,"Shipped")+COUNTIFS('RFQ Log'!$C$5:$C$304,A149,'RFQ Log'!$R$5:$R$304,"Paid"))</f>
        <v/>
      </c>
      <c r="I149" s="69" t="str">
        <f aca="false">IF(OR(A149="",G149=0),"",H149/G149)</f>
        <v/>
      </c>
      <c r="J149" s="68" t="str">
        <f aca="false">IF(A149="","",SUMIFS('RFQ Log'!$O$5:$O$304,'RFQ Log'!$C$5:$C$304,A149,'RFQ Log'!$R$5:$R$304,"Paid"))</f>
        <v/>
      </c>
      <c r="K149" s="68" t="str">
        <f aca="false">IF(A149="","",SUMIFS('RFQ Log'!$P$5:$P$304,'RFQ Log'!$C$5:$C$304,A149,'RFQ Log'!$R$5:$R$304,"Paid"))</f>
        <v/>
      </c>
      <c r="L149" s="52"/>
    </row>
    <row r="150" customFormat="false" ht="15" hidden="false" customHeight="false" outlineLevel="0" collapsed="false">
      <c r="A150" s="52"/>
      <c r="B150" s="52"/>
      <c r="C150" s="52"/>
      <c r="D150" s="52"/>
      <c r="E150" s="52"/>
      <c r="F150" s="52"/>
      <c r="G150" s="67" t="str">
        <f aca="false">IF(A150="","",COUNTIF('RFQ Log'!$C$5:$C$304,A150))</f>
        <v/>
      </c>
      <c r="H150" s="67" t="str">
        <f aca="false">IF(A150="","",COUNTIFS('RFQ Log'!$C$5:$C$304,A150,'RFQ Log'!$R$5:$R$304,"Won")+COUNTIFS('RFQ Log'!$C$5:$C$304,A150,'RFQ Log'!$R$5:$R$304,"Ordered")+COUNTIFS('RFQ Log'!$C$5:$C$304,A150,'RFQ Log'!$R$5:$R$304,"Shipped")+COUNTIFS('RFQ Log'!$C$5:$C$304,A150,'RFQ Log'!$R$5:$R$304,"Paid"))</f>
        <v/>
      </c>
      <c r="I150" s="69" t="str">
        <f aca="false">IF(OR(A150="",G150=0),"",H150/G150)</f>
        <v/>
      </c>
      <c r="J150" s="68" t="str">
        <f aca="false">IF(A150="","",SUMIFS('RFQ Log'!$O$5:$O$304,'RFQ Log'!$C$5:$C$304,A150,'RFQ Log'!$R$5:$R$304,"Paid"))</f>
        <v/>
      </c>
      <c r="K150" s="68" t="str">
        <f aca="false">IF(A150="","",SUMIFS('RFQ Log'!$P$5:$P$304,'RFQ Log'!$C$5:$C$304,A150,'RFQ Log'!$R$5:$R$304,"Paid"))</f>
        <v/>
      </c>
      <c r="L150" s="52"/>
    </row>
    <row r="151" customFormat="false" ht="15" hidden="false" customHeight="false" outlineLevel="0" collapsed="false">
      <c r="A151" s="52"/>
      <c r="B151" s="52"/>
      <c r="C151" s="52"/>
      <c r="D151" s="52"/>
      <c r="E151" s="52"/>
      <c r="F151" s="52"/>
      <c r="G151" s="67" t="str">
        <f aca="false">IF(A151="","",COUNTIF('RFQ Log'!$C$5:$C$304,A151))</f>
        <v/>
      </c>
      <c r="H151" s="67" t="str">
        <f aca="false">IF(A151="","",COUNTIFS('RFQ Log'!$C$5:$C$304,A151,'RFQ Log'!$R$5:$R$304,"Won")+COUNTIFS('RFQ Log'!$C$5:$C$304,A151,'RFQ Log'!$R$5:$R$304,"Ordered")+COUNTIFS('RFQ Log'!$C$5:$C$304,A151,'RFQ Log'!$R$5:$R$304,"Shipped")+COUNTIFS('RFQ Log'!$C$5:$C$304,A151,'RFQ Log'!$R$5:$R$304,"Paid"))</f>
        <v/>
      </c>
      <c r="I151" s="69" t="str">
        <f aca="false">IF(OR(A151="",G151=0),"",H151/G151)</f>
        <v/>
      </c>
      <c r="J151" s="68" t="str">
        <f aca="false">IF(A151="","",SUMIFS('RFQ Log'!$O$5:$O$304,'RFQ Log'!$C$5:$C$304,A151,'RFQ Log'!$R$5:$R$304,"Paid"))</f>
        <v/>
      </c>
      <c r="K151" s="68" t="str">
        <f aca="false">IF(A151="","",SUMIFS('RFQ Log'!$P$5:$P$304,'RFQ Log'!$C$5:$C$304,A151,'RFQ Log'!$R$5:$R$304,"Paid"))</f>
        <v/>
      </c>
      <c r="L151" s="52"/>
    </row>
    <row r="152" customFormat="false" ht="15" hidden="false" customHeight="false" outlineLevel="0" collapsed="false">
      <c r="A152" s="52"/>
      <c r="B152" s="52"/>
      <c r="C152" s="52"/>
      <c r="D152" s="52"/>
      <c r="E152" s="52"/>
      <c r="F152" s="52"/>
      <c r="G152" s="67" t="str">
        <f aca="false">IF(A152="","",COUNTIF('RFQ Log'!$C$5:$C$304,A152))</f>
        <v/>
      </c>
      <c r="H152" s="67" t="str">
        <f aca="false">IF(A152="","",COUNTIFS('RFQ Log'!$C$5:$C$304,A152,'RFQ Log'!$R$5:$R$304,"Won")+COUNTIFS('RFQ Log'!$C$5:$C$304,A152,'RFQ Log'!$R$5:$R$304,"Ordered")+COUNTIFS('RFQ Log'!$C$5:$C$304,A152,'RFQ Log'!$R$5:$R$304,"Shipped")+COUNTIFS('RFQ Log'!$C$5:$C$304,A152,'RFQ Log'!$R$5:$R$304,"Paid"))</f>
        <v/>
      </c>
      <c r="I152" s="69" t="str">
        <f aca="false">IF(OR(A152="",G152=0),"",H152/G152)</f>
        <v/>
      </c>
      <c r="J152" s="68" t="str">
        <f aca="false">IF(A152="","",SUMIFS('RFQ Log'!$O$5:$O$304,'RFQ Log'!$C$5:$C$304,A152,'RFQ Log'!$R$5:$R$304,"Paid"))</f>
        <v/>
      </c>
      <c r="K152" s="68" t="str">
        <f aca="false">IF(A152="","",SUMIFS('RFQ Log'!$P$5:$P$304,'RFQ Log'!$C$5:$C$304,A152,'RFQ Log'!$R$5:$R$304,"Paid"))</f>
        <v/>
      </c>
      <c r="L152" s="52"/>
    </row>
    <row r="153" customFormat="false" ht="15" hidden="false" customHeight="false" outlineLevel="0" collapsed="false">
      <c r="A153" s="52"/>
      <c r="B153" s="52"/>
      <c r="C153" s="52"/>
      <c r="D153" s="52"/>
      <c r="E153" s="52"/>
      <c r="F153" s="52"/>
      <c r="G153" s="67" t="str">
        <f aca="false">IF(A153="","",COUNTIF('RFQ Log'!$C$5:$C$304,A153))</f>
        <v/>
      </c>
      <c r="H153" s="67" t="str">
        <f aca="false">IF(A153="","",COUNTIFS('RFQ Log'!$C$5:$C$304,A153,'RFQ Log'!$R$5:$R$304,"Won")+COUNTIFS('RFQ Log'!$C$5:$C$304,A153,'RFQ Log'!$R$5:$R$304,"Ordered")+COUNTIFS('RFQ Log'!$C$5:$C$304,A153,'RFQ Log'!$R$5:$R$304,"Shipped")+COUNTIFS('RFQ Log'!$C$5:$C$304,A153,'RFQ Log'!$R$5:$R$304,"Paid"))</f>
        <v/>
      </c>
      <c r="I153" s="69" t="str">
        <f aca="false">IF(OR(A153="",G153=0),"",H153/G153)</f>
        <v/>
      </c>
      <c r="J153" s="68" t="str">
        <f aca="false">IF(A153="","",SUMIFS('RFQ Log'!$O$5:$O$304,'RFQ Log'!$C$5:$C$304,A153,'RFQ Log'!$R$5:$R$304,"Paid"))</f>
        <v/>
      </c>
      <c r="K153" s="68" t="str">
        <f aca="false">IF(A153="","",SUMIFS('RFQ Log'!$P$5:$P$304,'RFQ Log'!$C$5:$C$304,A153,'RFQ Log'!$R$5:$R$304,"Paid"))</f>
        <v/>
      </c>
      <c r="L153" s="52"/>
    </row>
    <row r="154" customFormat="false" ht="15" hidden="false" customHeight="false" outlineLevel="0" collapsed="false">
      <c r="A154" s="52"/>
      <c r="B154" s="52"/>
      <c r="C154" s="52"/>
      <c r="D154" s="52"/>
      <c r="E154" s="52"/>
      <c r="F154" s="52"/>
      <c r="G154" s="67" t="str">
        <f aca="false">IF(A154="","",COUNTIF('RFQ Log'!$C$5:$C$304,A154))</f>
        <v/>
      </c>
      <c r="H154" s="67" t="str">
        <f aca="false">IF(A154="","",COUNTIFS('RFQ Log'!$C$5:$C$304,A154,'RFQ Log'!$R$5:$R$304,"Won")+COUNTIFS('RFQ Log'!$C$5:$C$304,A154,'RFQ Log'!$R$5:$R$304,"Ordered")+COUNTIFS('RFQ Log'!$C$5:$C$304,A154,'RFQ Log'!$R$5:$R$304,"Shipped")+COUNTIFS('RFQ Log'!$C$5:$C$304,A154,'RFQ Log'!$R$5:$R$304,"Paid"))</f>
        <v/>
      </c>
      <c r="I154" s="69" t="str">
        <f aca="false">IF(OR(A154="",G154=0),"",H154/G154)</f>
        <v/>
      </c>
      <c r="J154" s="68" t="str">
        <f aca="false">IF(A154="","",SUMIFS('RFQ Log'!$O$5:$O$304,'RFQ Log'!$C$5:$C$304,A154,'RFQ Log'!$R$5:$R$304,"Paid"))</f>
        <v/>
      </c>
      <c r="K154" s="68" t="str">
        <f aca="false">IF(A154="","",SUMIFS('RFQ Log'!$P$5:$P$304,'RFQ Log'!$C$5:$C$304,A154,'RFQ Log'!$R$5:$R$304,"Paid"))</f>
        <v/>
      </c>
      <c r="L154" s="52"/>
    </row>
  </sheetData>
  <dataValidations count="1">
    <dataValidation allowBlank="true" errorStyle="stop" operator="between" showDropDown="false" showErrorMessage="false" showInputMessage="false" sqref="E5:E154" type="list">
      <formula1>"Referral,Word of mouth,Repeat,Online,Cold call,Trade show,Other"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2026-10-14T00:03:02Z</dcterms:created>
  <dc:creator>openpyxl</dc:creator>
  <dc:description/>
  <dc:language>en-US</dc:language>
  <cp:lastModifiedBy/>
  <dcterms:modified xsi:type="dcterms:W3CDTF">2026-10-14T00:03:04Z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